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4"/>
    <sheet state="visible" name="Transacciones" sheetId="2" r:id="rId5"/>
    <sheet state="visible" name="Septiembre" sheetId="3" r:id="rId6"/>
    <sheet state="visible" name="Agosto" sheetId="4" r:id="rId7"/>
    <sheet state="visible" name="Julio" sheetId="5" r:id="rId8"/>
    <sheet state="visible" name="Junio" sheetId="6" r:id="rId9"/>
    <sheet state="visible" name="Mayo" sheetId="7" r:id="rId10"/>
    <sheet state="visible" name="Abril" sheetId="8" r:id="rId11"/>
    <sheet state="visible" name="Marzo" sheetId="9" r:id="rId12"/>
    <sheet state="visible" name="Febrero" sheetId="10" r:id="rId13"/>
    <sheet state="visible" name="Enero" sheetId="11" r:id="rId14"/>
    <sheet state="visible" name="Acciones" sheetId="12" r:id="rId15"/>
    <sheet state="visible" name="Cedear" sheetId="13" r:id="rId16"/>
    <sheet state="visible" name="FCI" sheetId="14" r:id="rId17"/>
    <sheet state="visible" name="Bonos" sheetId="15" r:id="rId18"/>
    <sheet state="visible" name="Cripto" sheetId="16" r:id="rId19"/>
    <sheet state="visible" name="Letras" sheetId="17" r:id="rId20"/>
  </sheets>
  <definedNames>
    <definedName hidden="1" localSheetId="1" name="_xlnm._FilterDatabase">Transacciones!$A$1:$J$62</definedName>
  </definedNames>
  <calcPr/>
</workbook>
</file>

<file path=xl/sharedStrings.xml><?xml version="1.0" encoding="utf-8"?>
<sst xmlns="http://schemas.openxmlformats.org/spreadsheetml/2006/main" count="2077" uniqueCount="187">
  <si>
    <t>Mes</t>
  </si>
  <si>
    <t>Opc/Futuros</t>
  </si>
  <si>
    <t>Acciones</t>
  </si>
  <si>
    <t>Bonos</t>
  </si>
  <si>
    <t>Cedear</t>
  </si>
  <si>
    <t>ON</t>
  </si>
  <si>
    <t>FCI</t>
  </si>
  <si>
    <t>Letras</t>
  </si>
  <si>
    <t>Cripto</t>
  </si>
  <si>
    <t>Efectivo</t>
  </si>
  <si>
    <t>Total</t>
  </si>
  <si>
    <t>Variacion</t>
  </si>
  <si>
    <t>Inflacion</t>
  </si>
  <si>
    <t>Variacion Total</t>
  </si>
  <si>
    <t>Inflacion Total</t>
  </si>
  <si>
    <t>P&amp;L Final</t>
  </si>
  <si>
    <t>Enero</t>
  </si>
  <si>
    <t>Febrero</t>
  </si>
  <si>
    <t>Marzo</t>
  </si>
  <si>
    <t>5Y</t>
  </si>
  <si>
    <t>Abril</t>
  </si>
  <si>
    <t>HOY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</si>
  <si>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</si>
  <si>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</si>
  <si>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</si>
  <si>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</si>
  <si>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</si>
  <si>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</si>
  <si>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</si>
  <si>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</si>
  <si>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var i = 1; [].forEach.call(document.getElementsByTagName("table"),</t>
  </si>
  <si>
    <t>function(x) { console.log(i++, x); });</t>
  </si>
  <si>
    <t>Ticker</t>
  </si>
  <si>
    <t>Fecha Transaccion</t>
  </si>
  <si>
    <t>Tipo</t>
  </si>
  <si>
    <t>Unidades</t>
  </si>
  <si>
    <t>PCU</t>
  </si>
  <si>
    <t>PVU</t>
  </si>
  <si>
    <t>Total Compra</t>
  </si>
  <si>
    <t>Total Venta</t>
  </si>
  <si>
    <t>P&amp;L</t>
  </si>
  <si>
    <t>P&amp;L %</t>
  </si>
  <si>
    <t>Ventas</t>
  </si>
  <si>
    <t>Profit</t>
  </si>
  <si>
    <t>ALUA</t>
  </si>
  <si>
    <t>Compra</t>
  </si>
  <si>
    <t>BYMA</t>
  </si>
  <si>
    <t>CEPU</t>
  </si>
  <si>
    <t>COME</t>
  </si>
  <si>
    <t>EDN</t>
  </si>
  <si>
    <t>MORI</t>
  </si>
  <si>
    <t>PAMP</t>
  </si>
  <si>
    <t>SEMI</t>
  </si>
  <si>
    <t>TGNO4</t>
  </si>
  <si>
    <t>TXAR</t>
  </si>
  <si>
    <t>AE38</t>
  </si>
  <si>
    <t>AL29</t>
  </si>
  <si>
    <t>AL30</t>
  </si>
  <si>
    <t>AMZN</t>
  </si>
  <si>
    <t>BABA</t>
  </si>
  <si>
    <t>CDE</t>
  </si>
  <si>
    <t>ETHA</t>
  </si>
  <si>
    <t>GOOGL</t>
  </si>
  <si>
    <t>IBM</t>
  </si>
  <si>
    <t>KO</t>
  </si>
  <si>
    <t>LAC</t>
  </si>
  <si>
    <t>MSFT</t>
  </si>
  <si>
    <t>PFE</t>
  </si>
  <si>
    <t>SPY</t>
  </si>
  <si>
    <t>TEFO</t>
  </si>
  <si>
    <t>VIST</t>
  </si>
  <si>
    <t>YMCJO</t>
  </si>
  <si>
    <t>Allaria Diversificado Clase A</t>
  </si>
  <si>
    <t>Delta Recursos Naturales Clase A</t>
  </si>
  <si>
    <t>S17E5</t>
  </si>
  <si>
    <t>S14F5</t>
  </si>
  <si>
    <t>S16A5</t>
  </si>
  <si>
    <t>BTC</t>
  </si>
  <si>
    <t>Venta</t>
  </si>
  <si>
    <t>S28F5</t>
  </si>
  <si>
    <t>MR39O</t>
  </si>
  <si>
    <t>T13F6</t>
  </si>
  <si>
    <t>S14M5</t>
  </si>
  <si>
    <t>Max Ahorro Pesos Clase A</t>
  </si>
  <si>
    <t>Schroder Renta Plus Clase A</t>
  </si>
  <si>
    <t>Fima Premium</t>
  </si>
  <si>
    <t>Fima Ahorro Plus</t>
  </si>
  <si>
    <t>Fima Ahorro Peso</t>
  </si>
  <si>
    <t>S28A5</t>
  </si>
  <si>
    <t>S16Y5</t>
  </si>
  <si>
    <t>Adcap Ahorro Pesos Clase A</t>
  </si>
  <si>
    <t>TF36</t>
  </si>
  <si>
    <t>RUCDD</t>
  </si>
  <si>
    <t>YMCJD</t>
  </si>
  <si>
    <t>NDT5D</t>
  </si>
  <si>
    <t>S31L5</t>
  </si>
  <si>
    <t>S29G5</t>
  </si>
  <si>
    <t>S30S5</t>
  </si>
  <si>
    <t>D31O5</t>
  </si>
  <si>
    <t>S12S5</t>
  </si>
  <si>
    <t>S31O5</t>
  </si>
  <si>
    <t>Portfolio De Inversiones</t>
  </si>
  <si>
    <t>Valor Medio Total</t>
  </si>
  <si>
    <t>Valor Portolio</t>
  </si>
  <si>
    <t>Medio+Efectivo</t>
  </si>
  <si>
    <t>Portfolio+Efectivo</t>
  </si>
  <si>
    <t>Cantidad</t>
  </si>
  <si>
    <t>% Portfolio</t>
  </si>
  <si>
    <t>Costo medio</t>
  </si>
  <si>
    <t>Precio Actual</t>
  </si>
  <si>
    <t>Valor Medio</t>
  </si>
  <si>
    <t>Valor de Mercado</t>
  </si>
  <si>
    <t>Broker</t>
  </si>
  <si>
    <t>P&amp;L Julio/Junio</t>
  </si>
  <si>
    <t>Eco</t>
  </si>
  <si>
    <t>Ppi</t>
  </si>
  <si>
    <t>Binance</t>
  </si>
  <si>
    <t>Galicia</t>
  </si>
  <si>
    <t>P&amp;L Junio/Mayo</t>
  </si>
  <si>
    <t>P&amp;L Mayo/Abril</t>
  </si>
  <si>
    <t>P&amp;L Abril/Marzo</t>
  </si>
  <si>
    <t>Se vendieron AL29 y AL30</t>
  </si>
  <si>
    <t>P&amp;L Marzo/Febrero</t>
  </si>
  <si>
    <t>P&amp;L Febrero/Enero</t>
  </si>
  <si>
    <t>BOLT</t>
  </si>
  <si>
    <t>CARC</t>
  </si>
  <si>
    <t>LOMA</t>
  </si>
  <si>
    <t>TRAN</t>
  </si>
  <si>
    <t>GGAL</t>
  </si>
  <si>
    <t>INFLACION</t>
  </si>
  <si>
    <t>Accion</t>
  </si>
  <si>
    <t>3M</t>
  </si>
  <si>
    <t>D3M</t>
  </si>
  <si>
    <t>6M</t>
  </si>
  <si>
    <t>D6M</t>
  </si>
  <si>
    <t>9M</t>
  </si>
  <si>
    <t>D9M</t>
  </si>
  <si>
    <t>12M</t>
  </si>
  <si>
    <t>D12M</t>
  </si>
  <si>
    <t>Promedio</t>
  </si>
  <si>
    <t>Acumulado</t>
  </si>
  <si>
    <t>Watchlist</t>
  </si>
  <si>
    <t>Tiempo Real</t>
  </si>
  <si>
    <t>Ultimo Cierre</t>
  </si>
  <si>
    <t>Ult. Precio Bajo 52w</t>
  </si>
  <si>
    <t>Ult. Precio Alto 52w</t>
  </si>
  <si>
    <t>Variación del precio %</t>
  </si>
  <si>
    <t>Variación del precio</t>
  </si>
  <si>
    <t>Variacion l52-h52)</t>
  </si>
  <si>
    <t>Meta</t>
  </si>
  <si>
    <t>Empresa</t>
  </si>
  <si>
    <t>Ticket</t>
  </si>
  <si>
    <t>price</t>
  </si>
  <si>
    <t>closeyest</t>
  </si>
  <si>
    <t>low52</t>
  </si>
  <si>
    <t>high52</t>
  </si>
  <si>
    <t>changepct</t>
  </si>
  <si>
    <t>change</t>
  </si>
  <si>
    <t>%</t>
  </si>
  <si>
    <t>Variacion %</t>
  </si>
  <si>
    <t>Check</t>
  </si>
  <si>
    <t>Morixe</t>
  </si>
  <si>
    <t>el cambio porcentual en el precio desde el cierre del día de negociación anterior</t>
  </si>
  <si>
    <t>The price change since the previous trading day's close.</t>
  </si>
  <si>
    <t>Capital</t>
  </si>
  <si>
    <t>ARKK</t>
  </si>
  <si>
    <t>Occ Petroleum Corp</t>
  </si>
  <si>
    <t>OXY</t>
  </si>
  <si>
    <t>Bco Bradesco</t>
  </si>
  <si>
    <t>BBD</t>
  </si>
  <si>
    <t>Facebook</t>
  </si>
  <si>
    <t>META</t>
  </si>
  <si>
    <t>Netflix</t>
  </si>
  <si>
    <t>NFLX</t>
  </si>
  <si>
    <t>Adcap Cobertura Clase A</t>
  </si>
  <si>
    <t>Megainver Liquidez Pesos Clase A</t>
  </si>
  <si>
    <t>Gainvest Balanceado Clase A</t>
  </si>
  <si>
    <t>Schroder Liquidez Clase A</t>
  </si>
  <si>
    <t>Schroder Renta Performance Clase A</t>
  </si>
  <si>
    <t>TX24</t>
  </si>
  <si>
    <t>TV24</t>
  </si>
  <si>
    <t>TX26</t>
  </si>
  <si>
    <t>TX28</t>
  </si>
  <si>
    <t>BNA26</t>
  </si>
  <si>
    <t>BN26</t>
  </si>
  <si>
    <t>Ganancia</t>
  </si>
  <si>
    <t>Letras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</si>
</sst>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* #,##0.00_-;_-&quot;$&quot;* \-#,##0.00_-;_-&quot;$&quot;* &quot;-&quot;??_-;_-@"/>
    <numFmt numFmtId="165" formatCode="mmm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theme="1"/>
      <name val="Inherit"/>
    </font>
    <font/>
    <font>
      <sz val="11.0"/>
      <color rgb="FF000000"/>
      <name val="Inconsolata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3" fontId="1" numFmtId="0" xfId="0" applyAlignment="1" applyBorder="1" applyFill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5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left" readingOrder="0"/>
    </xf>
    <xf borderId="7" fillId="0" fontId="3" numFmtId="4" xfId="0" applyBorder="1" applyFont="1" applyNumberFormat="1"/>
    <xf borderId="8" fillId="0" fontId="3" numFmtId="4" xfId="0" applyBorder="1" applyFont="1" applyNumberFormat="1"/>
    <xf borderId="6" fillId="0" fontId="3" numFmtId="10" xfId="0" applyBorder="1" applyFont="1" applyNumberFormat="1"/>
    <xf borderId="9" fillId="0" fontId="3" numFmtId="10" xfId="0" applyAlignment="1" applyBorder="1" applyFont="1" applyNumberFormat="1">
      <alignment horizontal="right" readingOrder="0"/>
    </xf>
    <xf borderId="1" fillId="0" fontId="3" numFmtId="10" xfId="0" applyAlignment="1" applyBorder="1" applyFont="1" applyNumberFormat="1">
      <alignment horizontal="center"/>
    </xf>
    <xf borderId="10" fillId="0" fontId="4" numFmtId="4" xfId="0" applyAlignment="1" applyBorder="1" applyFont="1" applyNumberFormat="1">
      <alignment horizontal="center" vertical="bottom"/>
    </xf>
    <xf borderId="11" fillId="2" fontId="1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14" xfId="0" applyFont="1" applyNumberFormat="1"/>
    <xf borderId="6" fillId="0" fontId="3" numFmtId="10" xfId="0" applyAlignment="1" applyBorder="1" applyFont="1" applyNumberFormat="1">
      <alignment readingOrder="0"/>
    </xf>
    <xf borderId="12" fillId="0" fontId="3" numFmtId="4" xfId="0" applyAlignment="1" applyBorder="1" applyFont="1" applyNumberFormat="1">
      <alignment readingOrder="0"/>
    </xf>
    <xf borderId="13" fillId="2" fontId="1" numFmtId="0" xfId="0" applyAlignment="1" applyBorder="1" applyFont="1">
      <alignment horizontal="left" readingOrder="0"/>
    </xf>
    <xf borderId="14" fillId="0" fontId="3" numFmtId="4" xfId="0" applyAlignment="1" applyBorder="1" applyFont="1" applyNumberFormat="1">
      <alignment readingOrder="0"/>
    </xf>
    <xf borderId="10" fillId="0" fontId="3" numFmtId="10" xfId="0" applyAlignment="1" applyBorder="1" applyFont="1" applyNumberFormat="1">
      <alignment readingOrder="0"/>
    </xf>
    <xf borderId="15" fillId="0" fontId="3" numFmtId="10" xfId="0" applyAlignment="1" applyBorder="1" applyFont="1" applyNumberFormat="1">
      <alignment horizontal="right" readingOrder="0"/>
    </xf>
    <xf borderId="0" fillId="0" fontId="3" numFmtId="0" xfId="0" applyFont="1"/>
    <xf borderId="0" fillId="0" fontId="5" numFmtId="0" xfId="0" applyAlignment="1" applyFont="1">
      <alignment horizontal="left" readingOrder="0"/>
    </xf>
    <xf borderId="7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7" fillId="0" fontId="3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left" vertical="bottom"/>
    </xf>
    <xf borderId="7" fillId="0" fontId="3" numFmtId="164" xfId="0" applyAlignment="1" applyBorder="1" applyFont="1" applyNumberFormat="1">
      <alignment horizontal="center" readingOrder="0"/>
    </xf>
    <xf borderId="7" fillId="0" fontId="3" numFmtId="164" xfId="0" applyAlignment="1" applyBorder="1" applyFont="1" applyNumberFormat="1">
      <alignment horizontal="center"/>
    </xf>
    <xf borderId="7" fillId="0" fontId="3" numFmtId="10" xfId="0" applyAlignment="1" applyBorder="1" applyFont="1" applyNumberFormat="1">
      <alignment horizontal="center"/>
    </xf>
    <xf borderId="16" fillId="0" fontId="4" numFmtId="0" xfId="0" applyAlignment="1" applyBorder="1" applyFont="1">
      <alignment horizontal="left" readingOrder="0" vertical="bottom"/>
    </xf>
    <xf borderId="7" fillId="0" fontId="4" numFmtId="0" xfId="0" applyAlignment="1" applyBorder="1" applyFont="1">
      <alignment horizontal="left" readingOrder="0" vertical="bottom"/>
    </xf>
    <xf borderId="16" fillId="0" fontId="4" numFmtId="0" xfId="0" applyAlignment="1" applyBorder="1" applyFont="1">
      <alignment readingOrder="0" vertical="bottom"/>
    </xf>
    <xf borderId="7" fillId="0" fontId="3" numFmtId="0" xfId="0" applyAlignment="1" applyBorder="1" applyFont="1">
      <alignment readingOrder="0"/>
    </xf>
    <xf borderId="16" fillId="0" fontId="4" numFmtId="0" xfId="0" applyAlignment="1" applyBorder="1" applyFont="1">
      <alignment readingOrder="0" shrinkToFit="0" vertical="bottom" wrapText="1"/>
    </xf>
    <xf borderId="16" fillId="0" fontId="4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0" fillId="0" fontId="3" numFmtId="0" xfId="0" applyAlignment="1" applyFont="1">
      <alignment horizontal="center" readingOrder="0"/>
    </xf>
    <xf borderId="16" fillId="0" fontId="3" numFmtId="0" xfId="0" applyAlignment="1" applyBorder="1" applyFont="1">
      <alignment readingOrder="0"/>
    </xf>
    <xf borderId="7" fillId="0" fontId="3" numFmtId="3" xfId="0" applyAlignment="1" applyBorder="1" applyFont="1" applyNumberFormat="1">
      <alignment horizontal="center"/>
    </xf>
    <xf borderId="16" fillId="0" fontId="4" numFmtId="0" xfId="0" applyAlignment="1" applyBorder="1" applyFont="1">
      <alignment shrinkToFit="0" vertical="bottom" wrapText="0"/>
    </xf>
    <xf borderId="7" fillId="0" fontId="4" numFmtId="3" xfId="0" applyAlignment="1" applyBorder="1" applyFont="1" applyNumberFormat="1">
      <alignment horizontal="center" readingOrder="0" vertical="bottom"/>
    </xf>
    <xf borderId="7" fillId="0" fontId="3" numFmtId="3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readingOrder="0" vertical="bottom"/>
    </xf>
    <xf borderId="7" fillId="0" fontId="3" numFmtId="0" xfId="0" applyBorder="1" applyFont="1"/>
    <xf borderId="7" fillId="0" fontId="4" numFmtId="0" xfId="0" applyAlignment="1" applyBorder="1" applyFont="1">
      <alignment vertical="bottom"/>
    </xf>
    <xf borderId="7" fillId="0" fontId="4" numFmtId="164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7" fillId="0" fontId="3" numFmtId="164" xfId="0" applyAlignment="1" applyBorder="1" applyFont="1" applyNumberFormat="1">
      <alignment readingOrder="0"/>
    </xf>
    <xf borderId="7" fillId="0" fontId="3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2" numFmtId="0" xfId="0" applyAlignment="1" applyBorder="1" applyFont="1">
      <alignment horizontal="center" vertical="bottom"/>
    </xf>
    <xf borderId="7" fillId="5" fontId="1" numFmtId="0" xfId="0" applyAlignment="1" applyBorder="1" applyFill="1" applyFont="1">
      <alignment horizontal="center" readingOrder="0"/>
    </xf>
    <xf borderId="7" fillId="0" fontId="3" numFmtId="164" xfId="0" applyBorder="1" applyFont="1" applyNumberFormat="1"/>
    <xf borderId="7" fillId="5" fontId="1" numFmtId="0" xfId="0" applyAlignment="1" applyBorder="1" applyFont="1">
      <alignment horizontal="center"/>
    </xf>
    <xf borderId="0" fillId="0" fontId="2" numFmtId="0" xfId="0" applyAlignment="1" applyFont="1">
      <alignment horizontal="center" vertical="bottom"/>
    </xf>
    <xf borderId="7" fillId="0" fontId="3" numFmtId="4" xfId="0" applyAlignment="1" applyBorder="1" applyFont="1" applyNumberFormat="1">
      <alignment horizontal="center"/>
    </xf>
    <xf borderId="17" fillId="5" fontId="1" numFmtId="0" xfId="0" applyAlignment="1" applyBorder="1" applyFont="1">
      <alignment horizontal="center" readingOrder="0"/>
    </xf>
    <xf borderId="17" fillId="6" fontId="1" numFmtId="0" xfId="0" applyAlignment="1" applyBorder="1" applyFill="1" applyFont="1">
      <alignment horizontal="center" readingOrder="0"/>
    </xf>
    <xf borderId="7" fillId="0" fontId="3" numFmtId="4" xfId="0" applyAlignment="1" applyBorder="1" applyFont="1" applyNumberFormat="1">
      <alignment readingOrder="0"/>
    </xf>
    <xf borderId="7" fillId="6" fontId="1" numFmtId="0" xfId="0" applyAlignment="1" applyBorder="1" applyFont="1">
      <alignment horizontal="center" readingOrder="0"/>
    </xf>
    <xf borderId="7" fillId="6" fontId="1" numFmtId="3" xfId="0" applyBorder="1" applyFont="1" applyNumberFormat="1"/>
    <xf borderId="16" fillId="0" fontId="4" numFmtId="0" xfId="0" applyAlignment="1" applyBorder="1" applyFont="1">
      <alignment shrinkToFit="0" vertical="bottom" wrapText="0"/>
    </xf>
    <xf borderId="7" fillId="0" fontId="3" numFmtId="1" xfId="0" applyAlignment="1" applyBorder="1" applyFont="1" applyNumberFormat="1">
      <alignment horizontal="center" readingOrder="0"/>
    </xf>
    <xf borderId="0" fillId="0" fontId="3" numFmtId="1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12" fillId="6" fontId="1" numFmtId="0" xfId="0" applyAlignment="1" applyBorder="1" applyFont="1">
      <alignment horizontal="center" readingOrder="0"/>
    </xf>
    <xf borderId="18" fillId="0" fontId="6" numFmtId="0" xfId="0" applyBorder="1" applyFont="1"/>
    <xf borderId="7" fillId="7" fontId="3" numFmtId="0" xfId="0" applyAlignment="1" applyBorder="1" applyFill="1" applyFont="1">
      <alignment readingOrder="0"/>
    </xf>
    <xf borderId="7" fillId="2" fontId="1" numFmtId="0" xfId="0" applyAlignment="1" applyBorder="1" applyFont="1">
      <alignment horizontal="left" readingOrder="0"/>
    </xf>
    <xf borderId="7" fillId="8" fontId="1" numFmtId="0" xfId="0" applyAlignment="1" applyBorder="1" applyFill="1" applyFont="1">
      <alignment horizontal="center" readingOrder="0"/>
    </xf>
    <xf borderId="7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7" fillId="0" fontId="3" numFmtId="0" xfId="0" applyAlignment="1" applyBorder="1" applyFont="1">
      <alignment horizontal="center"/>
    </xf>
    <xf borderId="7" fillId="0" fontId="4" numFmtId="4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horizontal="center" readingOrder="0" vertical="bottom"/>
    </xf>
    <xf borderId="7" fillId="0" fontId="3" numFmtId="10" xfId="0" applyAlignment="1" applyBorder="1" applyFont="1" applyNumberFormat="1">
      <alignment horizontal="center" readingOrder="0"/>
    </xf>
    <xf borderId="7" fillId="0" fontId="3" numFmtId="4" xfId="0" applyAlignment="1" applyBorder="1" applyFont="1" applyNumberFormat="1">
      <alignment horizontal="center" readingOrder="0"/>
    </xf>
    <xf borderId="7" fillId="9" fontId="1" numFmtId="0" xfId="0" applyAlignment="1" applyBorder="1" applyFill="1" applyFont="1">
      <alignment readingOrder="0"/>
    </xf>
    <xf borderId="7" fillId="9" fontId="1" numFmtId="4" xfId="0" applyAlignment="1" applyBorder="1" applyFont="1" applyNumberFormat="1">
      <alignment horizontal="center" readingOrder="0"/>
    </xf>
    <xf borderId="7" fillId="9" fontId="1" numFmtId="10" xfId="0" applyAlignment="1" applyBorder="1" applyFont="1" applyNumberFormat="1">
      <alignment horizontal="center"/>
    </xf>
    <xf borderId="0" fillId="0" fontId="3" numFmtId="9" xfId="0" applyAlignment="1" applyFont="1" applyNumberFormat="1">
      <alignment readingOrder="0"/>
    </xf>
    <xf borderId="7" fillId="8" fontId="3" numFmtId="0" xfId="0" applyAlignment="1" applyBorder="1" applyFont="1">
      <alignment horizontal="center" readingOrder="0"/>
    </xf>
    <xf borderId="7" fillId="10" fontId="3" numFmtId="0" xfId="0" applyAlignment="1" applyBorder="1" applyFill="1" applyFont="1">
      <alignment horizontal="center" readingOrder="0"/>
    </xf>
    <xf borderId="12" fillId="8" fontId="2" numFmtId="0" xfId="0" applyAlignment="1" applyBorder="1" applyFont="1">
      <alignment horizontal="center" vertical="bottom"/>
    </xf>
    <xf borderId="19" fillId="0" fontId="6" numFmtId="0" xfId="0" applyBorder="1" applyFont="1"/>
    <xf borderId="18" fillId="8" fontId="2" numFmtId="0" xfId="0" applyAlignment="1" applyBorder="1" applyFont="1">
      <alignment horizontal="center" vertical="bottom"/>
    </xf>
    <xf borderId="16" fillId="2" fontId="2" numFmtId="0" xfId="0" applyAlignment="1" applyBorder="1" applyFont="1">
      <alignment vertical="bottom"/>
    </xf>
    <xf borderId="20" fillId="8" fontId="2" numFmtId="0" xfId="0" applyAlignment="1" applyBorder="1" applyFont="1">
      <alignment horizontal="center" vertical="bottom"/>
    </xf>
    <xf borderId="16" fillId="8" fontId="2" numFmtId="0" xfId="0" applyAlignment="1" applyBorder="1" applyFont="1">
      <alignment horizontal="center" vertical="bottom"/>
    </xf>
    <xf borderId="20" fillId="0" fontId="4" numFmtId="4" xfId="0" applyAlignment="1" applyBorder="1" applyFont="1" applyNumberFormat="1">
      <alignment horizontal="center" vertical="bottom"/>
    </xf>
    <xf borderId="0" fillId="0" fontId="3" numFmtId="4" xfId="0" applyFont="1" applyNumberFormat="1"/>
    <xf borderId="20" fillId="0" fontId="4" numFmtId="4" xfId="0" applyAlignment="1" applyBorder="1" applyFont="1" applyNumberFormat="1">
      <alignment horizontal="center" readingOrder="0" vertical="bottom"/>
    </xf>
    <xf borderId="12" fillId="0" fontId="3" numFmtId="0" xfId="0" applyAlignment="1" applyBorder="1" applyFont="1">
      <alignment horizontal="left" readingOrder="0"/>
    </xf>
    <xf borderId="16" fillId="8" fontId="2" numFmtId="0" xfId="0" applyAlignment="1" applyBorder="1" applyFont="1">
      <alignment horizontal="center" readingOrder="0" vertical="bottom"/>
    </xf>
    <xf borderId="8" fillId="8" fontId="2" numFmtId="0" xfId="0" applyAlignment="1" applyBorder="1" applyFont="1">
      <alignment horizontal="center" vertical="bottom"/>
    </xf>
    <xf borderId="20" fillId="0" fontId="6" numFmtId="0" xfId="0" applyBorder="1" applyFont="1"/>
    <xf borderId="20" fillId="9" fontId="2" numFmtId="4" xfId="0" applyAlignment="1" applyBorder="1" applyFont="1" applyNumberFormat="1">
      <alignment horizontal="center" vertical="bottom"/>
    </xf>
    <xf borderId="20" fillId="9" fontId="2" numFmtId="4" xfId="0" applyAlignment="1" applyBorder="1" applyFont="1" applyNumberFormat="1">
      <alignment horizontal="center" readingOrder="0" vertical="bottom"/>
    </xf>
    <xf borderId="12" fillId="8" fontId="1" numFmtId="0" xfId="0" applyAlignment="1" applyBorder="1" applyFont="1">
      <alignment horizontal="center" readingOrder="0"/>
    </xf>
    <xf borderId="7" fillId="0" fontId="3" numFmtId="10" xfId="0" applyBorder="1" applyFont="1" applyNumberFormat="1"/>
    <xf borderId="7" fillId="0" fontId="3" numFmtId="10" xfId="0" applyAlignment="1" applyBorder="1" applyFont="1" applyNumberFormat="1">
      <alignment readingOrder="0"/>
    </xf>
    <xf borderId="7" fillId="9" fontId="1" numFmtId="4" xfId="0" applyBorder="1" applyFont="1" applyNumberFormat="1"/>
    <xf borderId="7" fillId="9" fontId="1" numFmtId="4" xfId="0" applyAlignment="1" applyBorder="1" applyFont="1" applyNumberFormat="1">
      <alignment horizontal="center"/>
    </xf>
    <xf borderId="7" fillId="8" fontId="1" numFmtId="0" xfId="0" applyAlignment="1" applyBorder="1" applyFont="1">
      <alignment horizontal="center" readingOrder="0" shrinkToFit="0" wrapText="1"/>
    </xf>
    <xf borderId="7" fillId="8" fontId="1" numFmtId="0" xfId="0" applyAlignment="1" applyBorder="1" applyFont="1">
      <alignment horizontal="center" readingOrder="0" shrinkToFit="0" vertical="center" wrapText="1"/>
    </xf>
    <xf borderId="7" fillId="8" fontId="1" numFmtId="0" xfId="0" applyAlignment="1" applyBorder="1" applyFont="1">
      <alignment horizontal="center" shrinkToFit="0" vertical="center" wrapText="1"/>
    </xf>
    <xf borderId="7" fillId="8" fontId="1" numFmtId="0" xfId="0" applyAlignment="1" applyBorder="1" applyFont="1">
      <alignment horizontal="left" shrinkToFit="0" vertical="center" wrapText="1"/>
    </xf>
    <xf borderId="20" fillId="4" fontId="4" numFmtId="4" xfId="0" applyAlignment="1" applyBorder="1" applyFont="1" applyNumberFormat="1">
      <alignment horizontal="center" vertical="bottom"/>
    </xf>
    <xf borderId="20" fillId="4" fontId="4" numFmtId="10" xfId="0" applyAlignment="1" applyBorder="1" applyFont="1" applyNumberFormat="1">
      <alignment horizontal="center" vertical="bottom"/>
    </xf>
    <xf borderId="7" fillId="8" fontId="1" numFmtId="0" xfId="0" applyAlignment="1" applyBorder="1" applyFont="1">
      <alignment horizontal="left" readingOrder="0" shrinkToFit="0" vertical="center" wrapText="1"/>
    </xf>
    <xf borderId="7" fillId="9" fontId="1" numFmtId="0" xfId="0" applyAlignment="1" applyBorder="1" applyFont="1">
      <alignment horizontal="left" shrinkToFit="0" vertical="center" wrapText="1"/>
    </xf>
    <xf borderId="21" fillId="4" fontId="2" numFmtId="10" xfId="0" applyAlignment="1" applyBorder="1" applyFont="1" applyNumberFormat="1">
      <alignment horizontal="center" vertical="bottom"/>
    </xf>
    <xf borderId="7" fillId="9" fontId="1" numFmtId="0" xfId="0" applyAlignment="1" applyBorder="1" applyFont="1">
      <alignment horizontal="left" readingOrder="0"/>
    </xf>
    <xf borderId="7" fillId="9" fontId="1" numFmtId="10" xfId="0" applyAlignment="1" applyBorder="1" applyFont="1" applyNumberFormat="1">
      <alignment horizontal="left"/>
    </xf>
    <xf borderId="0" fillId="0" fontId="1" numFmtId="0" xfId="0" applyFont="1"/>
    <xf borderId="0" fillId="11" fontId="7" numFmtId="0" xfId="0" applyFill="1" applyFont="1"/>
    <xf borderId="7" fillId="9" fontId="1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Opciones, Acciones, Bonos, Cedear ON y FCI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Global!$B$1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Global!$B$2:$B$13</c:f>
              <c:numCache/>
            </c:numRef>
          </c:val>
        </c:ser>
        <c:ser>
          <c:idx val="1"/>
          <c:order val="1"/>
          <c:tx>
            <c:strRef>
              <c:f>Global!$C$1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Global!$C$2:$C$13</c:f>
              <c:numCache/>
            </c:numRef>
          </c:val>
        </c:ser>
        <c:ser>
          <c:idx val="2"/>
          <c:order val="2"/>
          <c:tx>
            <c:strRef>
              <c:f>Global!$D$1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Global!$D$2:$D$13</c:f>
              <c:numCache/>
            </c:numRef>
          </c:val>
        </c:ser>
        <c:ser>
          <c:idx val="3"/>
          <c:order val="3"/>
          <c:tx>
            <c:strRef>
              <c:f>Global!$E$1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Global!$E$2:$E$13</c:f>
              <c:numCache/>
            </c:numRef>
          </c:val>
        </c:ser>
        <c:ser>
          <c:idx val="4"/>
          <c:order val="4"/>
          <c:tx>
            <c:strRef>
              <c:f>Global!$G$1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Global!$G$2:$G$13</c:f>
              <c:numCache/>
            </c:numRef>
          </c:val>
        </c:ser>
        <c:ser>
          <c:idx val="5"/>
          <c:order val="5"/>
          <c:tx>
            <c:v>ON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Global!$F$3:$F$13</c:f>
              <c:numCache/>
            </c:numRef>
          </c:val>
        </c:ser>
        <c:ser>
          <c:idx val="6"/>
          <c:order val="6"/>
          <c:tx>
            <c:strRef>
              <c:f>Global!$H$1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Global!$H$2:$H$13</c:f>
              <c:numCache/>
            </c:numRef>
          </c:val>
        </c:ser>
        <c:ser>
          <c:idx val="7"/>
          <c:order val="7"/>
          <c:tx>
            <c:strRef>
              <c:f>Global!$J$1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Global!$J$2:$J$13</c:f>
              <c:numCache/>
            </c:numRef>
          </c:val>
        </c:ser>
        <c:overlap val="100"/>
        <c:axId val="171622516"/>
        <c:axId val="903115840"/>
      </c:barChart>
      <c:catAx>
        <c:axId val="1716225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115840"/>
      </c:catAx>
      <c:valAx>
        <c:axId val="9031158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225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Global!$A$2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Global!$B$1:$J$1</c:f>
            </c:strRef>
          </c:cat>
          <c:val>
            <c:numRef>
              <c:f>Global!$B$2:$J$2</c:f>
              <c:numCache/>
            </c:numRef>
          </c:val>
        </c:ser>
        <c:ser>
          <c:idx val="1"/>
          <c:order val="1"/>
          <c:tx>
            <c:strRef>
              <c:f>Global!$A$3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Global!$B$1:$J$1</c:f>
            </c:strRef>
          </c:cat>
          <c:val>
            <c:numRef>
              <c:f>Global!$B$3:$J$3</c:f>
              <c:numCache/>
            </c:numRef>
          </c:val>
        </c:ser>
        <c:ser>
          <c:idx val="2"/>
          <c:order val="2"/>
          <c:tx>
            <c:strRef>
              <c:f>Global!$A$4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Global!$B$1:$J$1</c:f>
            </c:strRef>
          </c:cat>
          <c:val>
            <c:numRef>
              <c:f>Global!$B$4:$J$4</c:f>
              <c:numCache/>
            </c:numRef>
          </c:val>
        </c:ser>
        <c:ser>
          <c:idx val="3"/>
          <c:order val="3"/>
          <c:tx>
            <c:strRef>
              <c:f>Global!$A$5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Global!$B$1:$J$1</c:f>
            </c:strRef>
          </c:cat>
          <c:val>
            <c:numRef>
              <c:f>Global!$B$5:$J$5</c:f>
              <c:numCache/>
            </c:numRef>
          </c:val>
        </c:ser>
        <c:ser>
          <c:idx val="4"/>
          <c:order val="4"/>
          <c:tx>
            <c:strRef>
              <c:f>Global!$A$6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Global!$B$1:$J$1</c:f>
            </c:strRef>
          </c:cat>
          <c:val>
            <c:numRef>
              <c:f>Global!$B$6:$J$6</c:f>
              <c:numCache/>
            </c:numRef>
          </c:val>
        </c:ser>
        <c:ser>
          <c:idx val="5"/>
          <c:order val="5"/>
          <c:tx>
            <c:strRef>
              <c:f>Global!$A$7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Global!$B$1:$J$1</c:f>
            </c:strRef>
          </c:cat>
          <c:val>
            <c:numRef>
              <c:f>Global!$B$7:$J$7</c:f>
              <c:numCache/>
            </c:numRef>
          </c:val>
        </c:ser>
        <c:ser>
          <c:idx val="6"/>
          <c:order val="6"/>
          <c:tx>
            <c:strRef>
              <c:f>Global!$A$8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Global!$B$1:$J$1</c:f>
            </c:strRef>
          </c:cat>
          <c:val>
            <c:numRef>
              <c:f>Global!$B$8:$J$8</c:f>
              <c:numCache/>
            </c:numRef>
          </c:val>
        </c:ser>
        <c:ser>
          <c:idx val="7"/>
          <c:order val="7"/>
          <c:tx>
            <c:strRef>
              <c:f>Global!$A$9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Global!$B$1:$J$1</c:f>
            </c:strRef>
          </c:cat>
          <c:val>
            <c:numRef>
              <c:f>Global!$B$9:$J$9</c:f>
              <c:numCache/>
            </c:numRef>
          </c:val>
        </c:ser>
        <c:ser>
          <c:idx val="8"/>
          <c:order val="8"/>
          <c:tx>
            <c:strRef>
              <c:f>Global!$A$10</c:f>
            </c:strRef>
          </c:tx>
          <c:cat>
            <c:strRef>
              <c:f>Global!$B$1:$J$1</c:f>
            </c:strRef>
          </c:cat>
          <c:val>
            <c:numRef>
              <c:f>Global!$B$10:$J$10</c:f>
              <c:numCache/>
            </c:numRef>
          </c:val>
        </c:ser>
        <c:ser>
          <c:idx val="9"/>
          <c:order val="9"/>
          <c:tx>
            <c:strRef>
              <c:f>Global!$A$11</c:f>
            </c:strRef>
          </c:tx>
          <c:cat>
            <c:strRef>
              <c:f>Global!$B$1:$J$1</c:f>
            </c:strRef>
          </c:cat>
          <c:val>
            <c:numRef>
              <c:f>Global!$B$11:$J$11</c:f>
              <c:numCache/>
            </c:numRef>
          </c:val>
        </c:ser>
        <c:ser>
          <c:idx val="10"/>
          <c:order val="10"/>
          <c:tx>
            <c:strRef>
              <c:f>Global!$A$12</c:f>
            </c:strRef>
          </c:tx>
          <c:cat>
            <c:strRef>
              <c:f>Global!$B$1:$J$1</c:f>
            </c:strRef>
          </c:cat>
          <c:val>
            <c:numRef>
              <c:f>Global!$B$12:$J$12</c:f>
              <c:numCache/>
            </c:numRef>
          </c:val>
        </c:ser>
        <c:ser>
          <c:idx val="11"/>
          <c:order val="11"/>
          <c:tx>
            <c:strRef>
              <c:f>Global!$A$13</c:f>
            </c:strRef>
          </c:tx>
          <c:cat>
            <c:strRef>
              <c:f>Global!$B$1:$J$1</c:f>
            </c:strRef>
          </c:cat>
          <c:val>
            <c:numRef>
              <c:f>Global!$B$13:$J$13</c:f>
              <c:numCache/>
            </c:numRef>
          </c:val>
        </c:ser>
        <c:axId val="2066733465"/>
        <c:axId val="1319620734"/>
      </c:barChart>
      <c:catAx>
        <c:axId val="2066733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620734"/>
      </c:catAx>
      <c:valAx>
        <c:axId val="1319620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733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contra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Global!$K$1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Global!$A$2:$A$14</c:f>
            </c:strRef>
          </c:cat>
          <c:val>
            <c:numRef>
              <c:f>Global!$K$2:$K$13</c:f>
              <c:numCache/>
            </c:numRef>
          </c:val>
        </c:ser>
        <c:axId val="679134132"/>
        <c:axId val="1995302959"/>
      </c:barChart>
      <c:catAx>
        <c:axId val="679134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302959"/>
      </c:catAx>
      <c:valAx>
        <c:axId val="1995302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134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SIDD Mensual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Global!$L$1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Global!$L$2:$L$13</c:f>
              <c:numCache/>
            </c:numRef>
          </c:val>
        </c:ser>
        <c:overlap val="100"/>
        <c:axId val="1982064275"/>
        <c:axId val="1539072260"/>
      </c:barChart>
      <c:catAx>
        <c:axId val="1982064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072260"/>
      </c:catAx>
      <c:valAx>
        <c:axId val="1539072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064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Variacion contra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Global!$L$1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Global!$A$2:$A$13</c:f>
            </c:strRef>
          </c:cat>
          <c:val>
            <c:numRef>
              <c:f>Global!$L$2:$L$13</c:f>
              <c:numCache/>
            </c:numRef>
          </c:val>
        </c:ser>
        <c:axId val="175568743"/>
        <c:axId val="1232384937"/>
      </c:barChart>
      <c:catAx>
        <c:axId val="1755687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384937"/>
      </c:catAx>
      <c:valAx>
        <c:axId val="12323849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Variacion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687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Variación vs Inflación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Global!$L$1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Global!$L$2:$L$13</c:f>
              <c:numCache/>
            </c:numRef>
          </c:val>
        </c:ser>
        <c:ser>
          <c:idx val="1"/>
          <c:order val="1"/>
          <c:tx>
            <c:strRef>
              <c:f>Global!$M$1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val>
            <c:numRef>
              <c:f>Global!$M$2:$M$13</c:f>
              <c:numCache/>
            </c:numRef>
          </c:val>
        </c:ser>
        <c:axId val="426622653"/>
        <c:axId val="523165368"/>
      </c:areaChart>
      <c:catAx>
        <c:axId val="426622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165368"/>
      </c:catAx>
      <c:valAx>
        <c:axId val="523165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622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Promedio de Variacion Anual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Acciones!$N$15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Acciones!$O$1:$Z$1</c:f>
            </c:strRef>
          </c:cat>
          <c:val>
            <c:numRef>
              <c:f>Acciones!$O$15:$Z$15</c:f>
              <c:numCache/>
            </c:numRef>
          </c:val>
        </c:ser>
        <c:axId val="1784372664"/>
        <c:axId val="1422356082"/>
      </c:barChart>
      <c:catAx>
        <c:axId val="17843726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356082"/>
      </c:catAx>
      <c:valAx>
        <c:axId val="14223560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3726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P&amp;L Anual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Acciones!$C$1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Acciones!$A$2:$A$13</c:f>
            </c:strRef>
          </c:cat>
          <c:val>
            <c:numRef>
              <c:f>Acciones!$C$2:$C$13</c:f>
              <c:numCache/>
            </c:numRef>
          </c:val>
        </c:ser>
        <c:ser>
          <c:idx val="1"/>
          <c:order val="1"/>
          <c:tx>
            <c:strRef>
              <c:f>Acciones!$D$1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Acciones!$A$2:$A$13</c:f>
            </c:strRef>
          </c:cat>
          <c:val>
            <c:numRef>
              <c:f>Acciones!$D$2:$D$13</c:f>
              <c:numCache/>
            </c:numRef>
          </c:val>
        </c:ser>
        <c:ser>
          <c:idx val="2"/>
          <c:order val="2"/>
          <c:tx>
            <c:strRef>
              <c:f>Acciones!$E$1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Acciones!$A$2:$A$13</c:f>
            </c:strRef>
          </c:cat>
          <c:val>
            <c:numRef>
              <c:f>Acciones!$E$2:$E$13</c:f>
              <c:numCache/>
            </c:numRef>
          </c:val>
        </c:ser>
        <c:ser>
          <c:idx val="3"/>
          <c:order val="3"/>
          <c:tx>
            <c:strRef>
              <c:f>Acciones!$H$1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Acciones!$A$2:$A$13</c:f>
            </c:strRef>
          </c:cat>
          <c:val>
            <c:numRef>
              <c:f>Acciones!$H$2:$H$13</c:f>
              <c:numCache/>
            </c:numRef>
          </c:val>
        </c:ser>
        <c:ser>
          <c:idx val="4"/>
          <c:order val="4"/>
          <c:tx>
            <c:strRef>
              <c:f>Acciones!$I$1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Acciones!$A$2:$A$13</c:f>
            </c:strRef>
          </c:cat>
          <c:val>
            <c:numRef>
              <c:f>Acciones!$I$2:$I$13</c:f>
              <c:numCache/>
            </c:numRef>
          </c:val>
        </c:ser>
        <c:ser>
          <c:idx val="5"/>
          <c:order val="5"/>
          <c:tx>
            <c:strRef>
              <c:f>Acciones!$B$1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Acciones!$A$2:$A$13</c:f>
            </c:strRef>
          </c:cat>
          <c:val>
            <c:numRef>
              <c:f>Acciones!$B$2:$B$13</c:f>
              <c:numCache/>
            </c:numRef>
          </c:val>
        </c:ser>
        <c:ser>
          <c:idx val="6"/>
          <c:order val="6"/>
          <c:tx>
            <c:strRef>
              <c:f>Acciones!$J$1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Acciones!$A$2:$A$13</c:f>
            </c:strRef>
          </c:cat>
          <c:val>
            <c:numRef>
              <c:f>Acciones!$J$2:$J$13</c:f>
              <c:numCache/>
            </c:numRef>
          </c:val>
        </c:ser>
        <c:overlap val="100"/>
        <c:axId val="60948956"/>
        <c:axId val="2068887765"/>
      </c:barChart>
      <c:catAx>
        <c:axId val="609489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887765"/>
      </c:catAx>
      <c:valAx>
        <c:axId val="20688877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489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Variacion contra Acumulado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Acciones!$AB$2:$AB$13</c:f>
            </c:strRef>
          </c:cat>
          <c:val>
            <c:numRef>
              <c:f>Acciones!$AC$2:$AC$13</c:f>
              <c:numCache/>
            </c:numRef>
          </c:val>
        </c:ser>
        <c:overlap val="100"/>
        <c:axId val="749124344"/>
        <c:axId val="1663537831"/>
      </c:barChart>
      <c:catAx>
        <c:axId val="749124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537831"/>
      </c:catAx>
      <c:valAx>
        <c:axId val="1663537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124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Promedio Variación Anual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Cedear!$V$2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Cedear!$U$3:$U$8</c:f>
            </c:strRef>
          </c:cat>
          <c:val>
            <c:numRef>
              <c:f>Cedear!$V$3:$V$8</c:f>
              <c:numCache/>
            </c:numRef>
          </c:val>
        </c:ser>
        <c:axId val="2123183857"/>
        <c:axId val="1239350450"/>
      </c:barChart>
      <c:catAx>
        <c:axId val="21231838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350450"/>
      </c:catAx>
      <c:valAx>
        <c:axId val="12393504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1838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P&amp;L Anual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FCI!$B$1:$E$1</c:f>
            </c:strRef>
          </c:cat>
          <c:val>
            <c:numRef>
              <c:f>FCI!$B$14:$E$14</c:f>
              <c:numCache/>
            </c:numRef>
          </c:val>
        </c:ser>
        <c:axId val="687495409"/>
        <c:axId val="1730850336"/>
      </c:barChart>
      <c:catAx>
        <c:axId val="687495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850336"/>
      </c:catAx>
      <c:valAx>
        <c:axId val="1730850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495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Promedio Variación Anual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FCI!$K$14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FCI!$L$1:$P$1</c:f>
            </c:strRef>
          </c:cat>
          <c:val>
            <c:numRef>
              <c:f>FCI!$L$14:$P$14</c:f>
              <c:numCache/>
            </c:numRef>
          </c:val>
        </c:ser>
        <c:ser>
          <c:idx val="1"/>
          <c:order val="1"/>
          <c:tx>
            <c:strRef>
              <c:f>FCI!$K$15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FCI!$L$1:$P$1</c:f>
            </c:strRef>
          </c:cat>
          <c:val>
            <c:numRef>
              <c:f>FCI!$L$15:$P$15</c:f>
              <c:numCache/>
            </c:numRef>
          </c:val>
        </c:ser>
        <c:axId val="106839199"/>
        <c:axId val="255165030"/>
      </c:barChart>
      <c:catAx>
        <c:axId val="1068391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165030"/>
      </c:catAx>
      <c:valAx>
        <c:axId val="2551650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391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contra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Bonos!$A$14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Bonos!$B$1:$F$1</c:f>
            </c:strRef>
          </c:cat>
          <c:val>
            <c:numRef>
              <c:f>Bonos!$B$14:$F$14</c:f>
              <c:numCache/>
            </c:numRef>
          </c:val>
        </c:ser>
        <c:axId val="2009807138"/>
        <c:axId val="1927057639"/>
      </c:barChart>
      <c:catAx>
        <c:axId val="2009807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057639"/>
      </c:catAx>
      <c:valAx>
        <c:axId val="1927057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807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contra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Bonos!$K$14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Bonos!$L$1:$T$1</c:f>
            </c:strRef>
          </c:cat>
          <c:val>
            <c:numRef>
              <c:f>Bonos!$L$14:$T$14</c:f>
              <c:numCache/>
            </c:numRef>
          </c:val>
        </c:ser>
        <c:ser>
          <c:idx val="1"/>
          <c:order val="1"/>
          <c:tx>
            <c:strRef>
              <c:f>Bonos!$K$15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Bonos!$L$1:$T$1</c:f>
            </c:strRef>
          </c:cat>
          <c:val>
            <c:numRef>
              <c:f>Bonos!$L$15:$T$15</c:f>
              <c:numCache/>
            </c:numRef>
          </c:val>
        </c:ser>
        <c:axId val="1812803349"/>
        <c:axId val="1169402693"/>
      </c:barChart>
      <c:catAx>
        <c:axId val="18128033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402693"/>
      </c:catAx>
      <c:valAx>
        <c:axId val="11694026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8033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Cripto$ contra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Cripto!$B$1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Cripto!$A$2:$A$13</c:f>
            </c:strRef>
          </c:cat>
          <c:val>
            <c:numRef>
              <c:f>Cripto!$B$2:$B$13</c:f>
              <c:numCache/>
            </c:numRef>
          </c:val>
        </c:ser>
        <c:axId val="877617871"/>
        <c:axId val="846023416"/>
      </c:barChart>
      <c:catAx>
        <c:axId val="8776178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023416"/>
      </c:catAx>
      <c:valAx>
        <c:axId val="8460234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6178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Cripto% contra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Cripto!$E$1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Cripto!$D$2:$D$13</c:f>
            </c:strRef>
          </c:cat>
          <c:val>
            <c:numRef>
              <c:f>Cripto!$E$2:$E$13</c:f>
              <c:numCache/>
            </c:numRef>
          </c:val>
        </c:ser>
        <c:axId val="1522483360"/>
        <c:axId val="1185173595"/>
      </c:barChart>
      <c:catAx>
        <c:axId val="15224833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173595"/>
      </c:catAx>
      <c:valAx>
        <c:axId val="11851735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S28A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4833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Letras $ contra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Letras!$B$1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Letras!$A$2:$A$13</c:f>
            </c:strRef>
          </c:cat>
          <c:val>
            <c:numRef>
              <c:f>Letras!$B$2:$B$13</c:f>
              <c:numCache/>
            </c:numRef>
          </c:val>
        </c:ser>
        <c:axId val="1537802475"/>
        <c:axId val="507407327"/>
      </c:barChart>
      <c:catAx>
        <c:axId val="15378024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407327"/>
      </c:catAx>
      <c:valAx>
        <c:axId val="5074073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8024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Letras % contra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Letras!$E$1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Letras!$D$2:$D$13</c:f>
            </c:strRef>
          </c:cat>
          <c:val>
            <c:numRef>
              <c:f>Letras!$E$2:$E$13</c:f>
              <c:numCache/>
            </c:numRef>
          </c:val>
        </c:ser>
        <c:ser>
          <c:idx val="1"/>
          <c:order val="1"/>
          <c:tx>
            <c:strRef>
              <c:f>Letras!$F$1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Letras!$D$2:$D$13</c:f>
            </c:strRef>
          </c:cat>
          <c:val>
            <c:numRef>
              <c:f>Letras!$F$2:$F$13</c:f>
              <c:numCache/>
            </c:numRef>
          </c:val>
        </c:ser>
        <c:axId val="630523985"/>
        <c:axId val="1207921627"/>
      </c:barChart>
      <c:catAx>
        <c:axId val="6305239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921627"/>
      </c:catAx>
      <c:valAx>
        <c:axId val="12079216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S28A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5239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200025</xdr:rowOff>
    </xdr:from>
    <xdr:ext cx="705802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180975</xdr:rowOff>
    </xdr:from>
    <xdr:ext cx="1307782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619125</xdr:colOff>
      <xdr:row>14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66675</xdr:colOff>
      <xdr:row>51</xdr:row>
      <xdr:rowOff>200025</xdr:rowOff>
    </xdr:from>
    <xdr:ext cx="6276975" cy="35814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9525</xdr:colOff>
      <xdr:row>52</xdr:row>
      <xdr:rowOff>0</xdr:rowOff>
    </xdr:from>
    <xdr:ext cx="6581775" cy="35814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71</xdr:row>
      <xdr:rowOff>9525</xdr:rowOff>
    </xdr:from>
    <xdr:ext cx="6581775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838200</xdr:colOff>
      <xdr:row>44</xdr:row>
      <xdr:rowOff>9525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304800</xdr:colOff>
      <xdr:row>46</xdr:row>
      <xdr:rowOff>95250</xdr:rowOff>
    </xdr:from>
    <xdr:ext cx="622935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190500</xdr:colOff>
      <xdr:row>45</xdr:row>
      <xdr:rowOff>114300</xdr:rowOff>
    </xdr:from>
    <xdr:ext cx="622935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18</xdr:row>
      <xdr:rowOff>57150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628650</xdr:colOff>
      <xdr:row>35</xdr:row>
      <xdr:rowOff>28575</xdr:rowOff>
    </xdr:from>
    <xdr:ext cx="481965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847725</xdr:colOff>
      <xdr:row>35</xdr:row>
      <xdr:rowOff>76200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523875</xdr:colOff>
      <xdr:row>18</xdr:row>
      <xdr:rowOff>0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0</xdr:row>
      <xdr:rowOff>114300</xdr:rowOff>
    </xdr:from>
    <xdr:ext cx="3028950" cy="264795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590550</xdr:colOff>
      <xdr:row>0</xdr:row>
      <xdr:rowOff>114300</xdr:rowOff>
    </xdr:from>
    <xdr:ext cx="3028950" cy="26479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457200</xdr:colOff>
      <xdr:row>0</xdr:row>
      <xdr:rowOff>114300</xdr:rowOff>
    </xdr:from>
    <xdr:ext cx="3028950" cy="264795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590550</xdr:colOff>
      <xdr:row>0</xdr:row>
      <xdr:rowOff>114300</xdr:rowOff>
    </xdr:from>
    <xdr:ext cx="3028950" cy="26479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9.5"/>
    <col customWidth="1" min="11" max="11" width="11.63"/>
    <col customWidth="1" min="12" max="12" width="15.25"/>
    <col customWidth="1" min="16" max="16" width="13.0"/>
    <col customWidth="1" min="17" max="17" width="12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O1" s="5" t="s">
        <v>13</v>
      </c>
      <c r="P1" s="5" t="s">
        <v>14</v>
      </c>
      <c r="Q1" s="7" t="s">
        <v>15</v>
      </c>
    </row>
    <row r="2">
      <c r="A2" s="8" t="s">
        <v>16</v>
      </c>
      <c r="B2" s="9">
        <f t="shared" ref="B2:B10" si="2">IFERROR(INDIRECT($A2&amp;"!$N1"),0)</f>
        <v>0</v>
      </c>
      <c r="C2" s="9">
        <f t="shared" ref="C2:C10" si="3">IFERROR(INDIRECT($A2&amp;"!$N2"),0)</f>
        <v>478288.5</v>
      </c>
      <c r="D2" s="9">
        <f t="shared" ref="D2:D10" si="4">IFERROR(INDIRECT($A2&amp;"!$N3"),0)</f>
        <v>225608</v>
      </c>
      <c r="E2" s="9">
        <f t="shared" ref="E2:E10" si="5">IFERROR(INDIRECT($A2&amp;"!$N4"),0)</f>
        <v>493990</v>
      </c>
      <c r="F2" s="9">
        <f t="shared" ref="F2:F10" si="6">IFERROR(INDIRECT($A2&amp;"!$N5"),0)</f>
        <v>31148</v>
      </c>
      <c r="G2" s="9">
        <f t="shared" ref="G2:G10" si="7">IFERROR(INDIRECT($A2&amp;"!$N6"),0)</f>
        <v>1338770.07</v>
      </c>
      <c r="H2" s="9">
        <f t="shared" ref="H2:H10" si="8">IFERROR(INDIRECT($A2&amp;"!$N7"),0)</f>
        <v>28744.2487</v>
      </c>
      <c r="I2" s="9">
        <f t="shared" ref="I2:I10" si="9">IFERROR(INDIRECT($A2&amp;"!$N8"),0)</f>
        <v>22000</v>
      </c>
      <c r="J2" s="9">
        <f t="shared" ref="J2:J10" si="10">IFERROR(INDIRECT($A2&amp;"!$N9"),0)</f>
        <v>50856.87</v>
      </c>
      <c r="K2" s="10">
        <f t="shared" ref="K2:K11" si="11">SUM(B2:J2)</f>
        <v>2669405.689</v>
      </c>
      <c r="L2" s="11">
        <f>Enero!D2</f>
        <v>0.01610311998</v>
      </c>
      <c r="M2" s="12">
        <v>0.022</v>
      </c>
      <c r="O2" s="13">
        <f t="shared" ref="O2:P2" si="1">SUM(L2:L13)</f>
        <v>0.4386034588</v>
      </c>
      <c r="P2" s="13">
        <f t="shared" si="1"/>
        <v>0.1572</v>
      </c>
      <c r="Q2" s="14"/>
    </row>
    <row r="3">
      <c r="A3" s="15" t="s">
        <v>17</v>
      </c>
      <c r="B3" s="9">
        <f t="shared" si="2"/>
        <v>0</v>
      </c>
      <c r="C3" s="9">
        <f t="shared" si="3"/>
        <v>429801.5</v>
      </c>
      <c r="D3" s="9">
        <f t="shared" si="4"/>
        <v>728440.7895</v>
      </c>
      <c r="E3" s="9">
        <f t="shared" si="5"/>
        <v>478840</v>
      </c>
      <c r="F3" s="9">
        <f t="shared" si="6"/>
        <v>37599</v>
      </c>
      <c r="G3" s="9">
        <f t="shared" si="7"/>
        <v>1307699.718</v>
      </c>
      <c r="H3" s="9">
        <f t="shared" si="8"/>
        <v>1126576.54</v>
      </c>
      <c r="I3" s="9">
        <f t="shared" si="9"/>
        <v>22160</v>
      </c>
      <c r="J3" s="9">
        <f t="shared" si="10"/>
        <v>50856.87</v>
      </c>
      <c r="K3" s="10">
        <f t="shared" si="11"/>
        <v>4181974.417</v>
      </c>
      <c r="L3" s="11">
        <f>Febrero!D2</f>
        <v>-0.006399936795</v>
      </c>
      <c r="M3" s="12">
        <v>0.024</v>
      </c>
    </row>
    <row r="4">
      <c r="A4" s="15" t="s">
        <v>18</v>
      </c>
      <c r="B4" s="9">
        <f t="shared" si="2"/>
        <v>0</v>
      </c>
      <c r="C4" s="9">
        <f t="shared" si="3"/>
        <v>410678</v>
      </c>
      <c r="D4" s="9">
        <f t="shared" si="4"/>
        <v>650045.558</v>
      </c>
      <c r="E4" s="9">
        <f t="shared" si="5"/>
        <v>440171</v>
      </c>
      <c r="F4" s="9">
        <f t="shared" si="6"/>
        <v>39142</v>
      </c>
      <c r="G4" s="9">
        <f t="shared" si="7"/>
        <v>6336846.261</v>
      </c>
      <c r="H4" s="9">
        <f t="shared" si="8"/>
        <v>1134591.57</v>
      </c>
      <c r="I4" s="9">
        <f t="shared" si="9"/>
        <v>21408</v>
      </c>
      <c r="J4" s="9">
        <f t="shared" si="10"/>
        <v>107420</v>
      </c>
      <c r="K4" s="10">
        <f t="shared" si="11"/>
        <v>9140302.389</v>
      </c>
      <c r="L4" s="11">
        <f>Marzo!D2</f>
        <v>0.1299387337</v>
      </c>
      <c r="M4" s="12">
        <v>0.03</v>
      </c>
      <c r="O4" s="16" t="s">
        <v>19</v>
      </c>
      <c r="P4" s="17">
        <f>TODAY()-1825</f>
        <v>44162</v>
      </c>
    </row>
    <row r="5">
      <c r="A5" s="15" t="s">
        <v>20</v>
      </c>
      <c r="B5" s="9">
        <f t="shared" si="2"/>
        <v>0</v>
      </c>
      <c r="C5" s="9">
        <f t="shared" si="3"/>
        <v>438914</v>
      </c>
      <c r="D5" s="9">
        <f t="shared" si="4"/>
        <v>169700</v>
      </c>
      <c r="E5" s="9">
        <f t="shared" si="5"/>
        <v>458655</v>
      </c>
      <c r="F5" s="9">
        <f t="shared" si="6"/>
        <v>332880</v>
      </c>
      <c r="G5" s="9">
        <f t="shared" si="7"/>
        <v>6549611.811</v>
      </c>
      <c r="H5" s="9">
        <f t="shared" si="8"/>
        <v>2185113.026</v>
      </c>
      <c r="I5" s="9">
        <f t="shared" si="9"/>
        <v>23867</v>
      </c>
      <c r="J5" s="9">
        <f t="shared" si="10"/>
        <v>107420</v>
      </c>
      <c r="K5" s="10">
        <f t="shared" si="11"/>
        <v>10266160.84</v>
      </c>
      <c r="L5" s="11">
        <f>Abril!D2</f>
        <v>0.03098220359</v>
      </c>
      <c r="M5" s="12">
        <v>0.028</v>
      </c>
      <c r="O5" s="16" t="s">
        <v>21</v>
      </c>
      <c r="P5" s="17">
        <f>TODAY()</f>
        <v>45987</v>
      </c>
    </row>
    <row r="6">
      <c r="A6" s="15" t="s">
        <v>22</v>
      </c>
      <c r="B6" s="9">
        <f t="shared" si="2"/>
        <v>0</v>
      </c>
      <c r="C6" s="9">
        <f t="shared" si="3"/>
        <v>397929</v>
      </c>
      <c r="D6" s="9">
        <f t="shared" si="4"/>
        <v>51180</v>
      </c>
      <c r="E6" s="9">
        <f t="shared" si="5"/>
        <v>461810</v>
      </c>
      <c r="F6" s="9">
        <f t="shared" si="6"/>
        <v>341521.4</v>
      </c>
      <c r="G6" s="9">
        <f t="shared" si="7"/>
        <v>6685655.858</v>
      </c>
      <c r="H6" s="9">
        <f t="shared" si="8"/>
        <v>2205766.16</v>
      </c>
      <c r="I6" s="9">
        <f t="shared" si="9"/>
        <v>24930.7</v>
      </c>
      <c r="J6" s="9">
        <f t="shared" si="10"/>
        <v>29244.57</v>
      </c>
      <c r="K6" s="10">
        <f t="shared" si="11"/>
        <v>10198037.69</v>
      </c>
      <c r="L6" s="11">
        <f>Mayo!D2</f>
        <v>0.04517191002</v>
      </c>
      <c r="M6" s="12">
        <v>0.0172</v>
      </c>
    </row>
    <row r="7">
      <c r="A7" s="15" t="s">
        <v>23</v>
      </c>
      <c r="B7" s="9">
        <f t="shared" si="2"/>
        <v>0</v>
      </c>
      <c r="C7" s="9">
        <f t="shared" si="3"/>
        <v>365441</v>
      </c>
      <c r="D7" s="9">
        <f t="shared" si="4"/>
        <v>52740</v>
      </c>
      <c r="E7" s="9">
        <f t="shared" si="5"/>
        <v>505953</v>
      </c>
      <c r="F7" s="9">
        <f t="shared" si="6"/>
        <v>353492</v>
      </c>
      <c r="G7" s="9">
        <f t="shared" si="7"/>
        <v>6724481.904</v>
      </c>
      <c r="H7" s="9">
        <f t="shared" si="8"/>
        <v>3259732.152</v>
      </c>
      <c r="I7" s="9">
        <f t="shared" si="9"/>
        <v>28000</v>
      </c>
      <c r="J7" s="9">
        <f t="shared" si="10"/>
        <v>107420</v>
      </c>
      <c r="K7" s="10">
        <f t="shared" si="11"/>
        <v>11397260.06</v>
      </c>
      <c r="L7" s="11">
        <f>Junio!D2</f>
        <v>0.03530127631</v>
      </c>
      <c r="M7" s="12">
        <v>0.016</v>
      </c>
    </row>
    <row r="8">
      <c r="A8" s="15" t="s">
        <v>24</v>
      </c>
      <c r="B8" s="9">
        <f t="shared" si="2"/>
        <v>0</v>
      </c>
      <c r="C8" s="9">
        <f t="shared" si="3"/>
        <v>414838</v>
      </c>
      <c r="D8" s="9">
        <f t="shared" si="4"/>
        <v>54780</v>
      </c>
      <c r="E8" s="9">
        <f t="shared" si="5"/>
        <v>574225</v>
      </c>
      <c r="F8" s="9">
        <f t="shared" si="6"/>
        <v>396699</v>
      </c>
      <c r="G8" s="9">
        <f t="shared" si="7"/>
        <v>6911392.878</v>
      </c>
      <c r="H8" s="9">
        <f t="shared" si="8"/>
        <v>3375673.666</v>
      </c>
      <c r="I8" s="9">
        <f t="shared" si="9"/>
        <v>31114.52</v>
      </c>
      <c r="J8" s="9">
        <f t="shared" si="10"/>
        <v>107420</v>
      </c>
      <c r="K8" s="10">
        <f t="shared" si="11"/>
        <v>11866143.06</v>
      </c>
      <c r="L8" s="11">
        <f>Julio!D2</f>
        <v>0.07829880101</v>
      </c>
      <c r="M8" s="12">
        <v>0.02</v>
      </c>
    </row>
    <row r="9">
      <c r="A9" s="15" t="s">
        <v>25</v>
      </c>
      <c r="B9" s="9">
        <f t="shared" si="2"/>
        <v>0</v>
      </c>
      <c r="C9" s="9">
        <f t="shared" si="3"/>
        <v>305751.82</v>
      </c>
      <c r="D9" s="9">
        <f t="shared" si="4"/>
        <v>51180</v>
      </c>
      <c r="E9" s="9">
        <f t="shared" si="5"/>
        <v>683313</v>
      </c>
      <c r="F9" s="9">
        <f t="shared" si="6"/>
        <v>340811.4</v>
      </c>
      <c r="G9" s="9">
        <f t="shared" si="7"/>
        <v>6685655.858</v>
      </c>
      <c r="H9" s="9">
        <f t="shared" si="8"/>
        <v>2344814.022</v>
      </c>
      <c r="I9" s="9">
        <f t="shared" si="9"/>
        <v>31430</v>
      </c>
      <c r="J9" s="9">
        <f t="shared" si="10"/>
        <v>107420</v>
      </c>
      <c r="K9" s="10">
        <f t="shared" si="11"/>
        <v>10550376.1</v>
      </c>
      <c r="L9" s="11">
        <f>Agosto!D2</f>
        <v>0.03533251069</v>
      </c>
      <c r="M9" s="12"/>
    </row>
    <row r="10">
      <c r="A10" s="15" t="s">
        <v>26</v>
      </c>
      <c r="B10" s="9">
        <f t="shared" si="2"/>
        <v>0</v>
      </c>
      <c r="C10" s="9">
        <f t="shared" si="3"/>
        <v>449236.8</v>
      </c>
      <c r="D10" s="9">
        <f t="shared" si="4"/>
        <v>51180</v>
      </c>
      <c r="E10" s="9">
        <f t="shared" si="5"/>
        <v>835525</v>
      </c>
      <c r="F10" s="9">
        <f t="shared" si="6"/>
        <v>340811.4</v>
      </c>
      <c r="G10" s="9">
        <f t="shared" si="7"/>
        <v>6685655.858</v>
      </c>
      <c r="H10" s="9">
        <f t="shared" si="8"/>
        <v>1866787.954</v>
      </c>
      <c r="I10" s="9">
        <f t="shared" si="9"/>
        <v>31430</v>
      </c>
      <c r="J10" s="9">
        <f t="shared" si="10"/>
        <v>107420</v>
      </c>
      <c r="K10" s="10">
        <f t="shared" si="11"/>
        <v>10368047.01</v>
      </c>
      <c r="L10" s="11">
        <f>Septiembre!D2</f>
        <v>0.07387484038</v>
      </c>
      <c r="M10" s="12"/>
    </row>
    <row r="11">
      <c r="A11" s="15" t="s">
        <v>27</v>
      </c>
      <c r="B11" s="9"/>
      <c r="C11" s="9"/>
      <c r="D11" s="9"/>
      <c r="E11" s="9"/>
      <c r="F11" s="9"/>
      <c r="G11" s="9"/>
      <c r="H11" s="9"/>
      <c r="I11" s="9"/>
      <c r="J11" s="9"/>
      <c r="K11" s="10">
        <f t="shared" si="11"/>
        <v>0</v>
      </c>
      <c r="L11" s="18">
        <v>0.0</v>
      </c>
      <c r="M11" s="12"/>
    </row>
    <row r="12">
      <c r="A12" s="15" t="s">
        <v>28</v>
      </c>
      <c r="B12" s="9"/>
      <c r="C12" s="9"/>
      <c r="D12" s="9"/>
      <c r="E12" s="9"/>
      <c r="F12" s="9"/>
      <c r="G12" s="9"/>
      <c r="H12" s="9"/>
      <c r="I12" s="9"/>
      <c r="J12" s="9"/>
      <c r="K12" s="19">
        <f t="shared" ref="K12:K13" si="12">SUM(B12:H12)</f>
        <v>0</v>
      </c>
      <c r="L12" s="18">
        <v>0.0</v>
      </c>
      <c r="M12" s="12"/>
    </row>
    <row r="13">
      <c r="A13" s="20" t="s">
        <v>29</v>
      </c>
      <c r="B13" s="21"/>
      <c r="C13" s="21"/>
      <c r="D13" s="21"/>
      <c r="E13" s="21"/>
      <c r="F13" s="21"/>
      <c r="G13" s="21"/>
      <c r="H13" s="21"/>
      <c r="I13" s="21"/>
      <c r="J13" s="21"/>
      <c r="K13" s="21">
        <f t="shared" si="12"/>
        <v>0</v>
      </c>
      <c r="L13" s="22">
        <v>0.0</v>
      </c>
      <c r="M13" s="23"/>
    </row>
    <row r="53">
      <c r="A53" s="24" t="str">
        <f>IFERROR(__xludf.DUMMYFUNCTION("IMPORTHTML(""https://www.ambito.com/contenidos/dolar-mep.html"",""table"",2)"),"#N/A")</f>
        <v>#N/A</v>
      </c>
    </row>
    <row r="96">
      <c r="A96" s="25" t="s">
        <v>30</v>
      </c>
    </row>
    <row r="97">
      <c r="A97" s="25" t="s">
        <v>31</v>
      </c>
    </row>
  </sheetData>
  <conditionalFormatting sqref="L2:L13">
    <cfRule type="cellIs" dxfId="0" priority="1" operator="greaterThanOrEqual">
      <formula>0</formula>
    </cfRule>
  </conditionalFormatting>
  <conditionalFormatting sqref="L2:L13">
    <cfRule type="cellIs" dxfId="1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6.0"/>
    <col customWidth="1" min="3" max="3" width="13.75"/>
    <col customWidth="1" min="4" max="5" width="20.0"/>
    <col customWidth="1" min="6" max="6" width="20.63"/>
    <col customWidth="1" min="7" max="7" width="17.0"/>
    <col customWidth="1" min="8" max="8" width="18.75"/>
  </cols>
  <sheetData>
    <row r="1">
      <c r="A1" s="26" t="s">
        <v>32</v>
      </c>
      <c r="B1" s="26" t="s">
        <v>33</v>
      </c>
      <c r="C1" s="26" t="s">
        <v>34</v>
      </c>
      <c r="D1" s="26" t="s">
        <v>35</v>
      </c>
      <c r="E1" s="26" t="s">
        <v>36</v>
      </c>
      <c r="F1" s="26" t="s">
        <v>37</v>
      </c>
      <c r="G1" s="26" t="s">
        <v>38</v>
      </c>
      <c r="H1" s="26" t="s">
        <v>39</v>
      </c>
      <c r="I1" s="26" t="s">
        <v>40</v>
      </c>
      <c r="J1" s="26" t="s">
        <v>41</v>
      </c>
      <c r="K1" s="27"/>
      <c r="L1" s="28" t="s">
        <v>42</v>
      </c>
      <c r="M1" s="26" t="s">
        <v>43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9" t="s">
        <v>44</v>
      </c>
      <c r="B2" s="28" t="s">
        <v>16</v>
      </c>
      <c r="C2" s="28" t="s">
        <v>45</v>
      </c>
      <c r="D2" s="28">
        <v>15.0</v>
      </c>
      <c r="E2" s="30">
        <v>984.0</v>
      </c>
      <c r="F2" s="30">
        <v>0.0</v>
      </c>
      <c r="G2" s="30">
        <f t="shared" ref="G2:G82" si="1">E2*D2</f>
        <v>14760</v>
      </c>
      <c r="H2" s="31">
        <f t="shared" ref="H2:H45" si="2">F2*D2</f>
        <v>0</v>
      </c>
      <c r="I2" s="31">
        <f t="shared" ref="I2:I82" si="3">IF(H2-G2&lt;0,0,H2-G2)</f>
        <v>0</v>
      </c>
      <c r="J2" s="32">
        <f t="shared" ref="J2:J82" si="4">IFERROR(I2/G2,0)</f>
        <v>0</v>
      </c>
      <c r="L2" s="30">
        <f>SUMIF(C2:C914,"Venta",H2:HI914)</f>
        <v>6988165.083</v>
      </c>
      <c r="M2" s="30">
        <f>SUM(I2:I914)</f>
        <v>271590.9447</v>
      </c>
    </row>
    <row r="3">
      <c r="A3" s="33" t="s">
        <v>46</v>
      </c>
      <c r="B3" s="28" t="s">
        <v>16</v>
      </c>
      <c r="C3" s="28" t="s">
        <v>45</v>
      </c>
      <c r="D3" s="28">
        <v>28.0</v>
      </c>
      <c r="E3" s="30">
        <v>368.0</v>
      </c>
      <c r="F3" s="30">
        <v>0.0</v>
      </c>
      <c r="G3" s="30">
        <f t="shared" si="1"/>
        <v>10304</v>
      </c>
      <c r="H3" s="31">
        <f t="shared" si="2"/>
        <v>0</v>
      </c>
      <c r="I3" s="31">
        <f t="shared" si="3"/>
        <v>0</v>
      </c>
      <c r="J3" s="32">
        <f t="shared" si="4"/>
        <v>0</v>
      </c>
    </row>
    <row r="4">
      <c r="A4" s="33" t="s">
        <v>47</v>
      </c>
      <c r="B4" s="28" t="s">
        <v>16</v>
      </c>
      <c r="C4" s="28" t="s">
        <v>45</v>
      </c>
      <c r="D4" s="28">
        <v>20.0</v>
      </c>
      <c r="E4" s="30">
        <v>1740.0</v>
      </c>
      <c r="F4" s="30"/>
      <c r="G4" s="30">
        <f t="shared" si="1"/>
        <v>34800</v>
      </c>
      <c r="H4" s="31">
        <f t="shared" si="2"/>
        <v>0</v>
      </c>
      <c r="I4" s="31">
        <f t="shared" si="3"/>
        <v>0</v>
      </c>
      <c r="J4" s="32">
        <f t="shared" si="4"/>
        <v>0</v>
      </c>
    </row>
    <row r="5">
      <c r="A5" s="34" t="s">
        <v>48</v>
      </c>
      <c r="B5" s="28" t="s">
        <v>16</v>
      </c>
      <c r="C5" s="28" t="s">
        <v>45</v>
      </c>
      <c r="D5" s="28">
        <v>45.0</v>
      </c>
      <c r="E5" s="30">
        <v>234.25</v>
      </c>
      <c r="F5" s="31"/>
      <c r="G5" s="30">
        <f t="shared" si="1"/>
        <v>10541.25</v>
      </c>
      <c r="H5" s="31">
        <f t="shared" si="2"/>
        <v>0</v>
      </c>
      <c r="I5" s="31">
        <f t="shared" si="3"/>
        <v>0</v>
      </c>
      <c r="J5" s="32">
        <f t="shared" si="4"/>
        <v>0</v>
      </c>
    </row>
    <row r="6">
      <c r="A6" s="33" t="s">
        <v>49</v>
      </c>
      <c r="B6" s="28" t="s">
        <v>16</v>
      </c>
      <c r="C6" s="28" t="s">
        <v>45</v>
      </c>
      <c r="D6" s="28">
        <v>20.0</v>
      </c>
      <c r="E6" s="30">
        <v>942.0</v>
      </c>
      <c r="F6" s="31"/>
      <c r="G6" s="30">
        <f t="shared" si="1"/>
        <v>18840</v>
      </c>
      <c r="H6" s="31">
        <f t="shared" si="2"/>
        <v>0</v>
      </c>
      <c r="I6" s="31">
        <f t="shared" si="3"/>
        <v>0</v>
      </c>
      <c r="J6" s="32">
        <f t="shared" si="4"/>
        <v>0</v>
      </c>
    </row>
    <row r="7">
      <c r="A7" s="33" t="s">
        <v>50</v>
      </c>
      <c r="B7" s="28" t="s">
        <v>16</v>
      </c>
      <c r="C7" s="28" t="s">
        <v>45</v>
      </c>
      <c r="D7" s="28">
        <v>100.0</v>
      </c>
      <c r="E7" s="30">
        <v>394.0</v>
      </c>
      <c r="F7" s="31"/>
      <c r="G7" s="30">
        <f t="shared" si="1"/>
        <v>39400</v>
      </c>
      <c r="H7" s="31">
        <f t="shared" si="2"/>
        <v>0</v>
      </c>
      <c r="I7" s="31">
        <f t="shared" si="3"/>
        <v>0</v>
      </c>
      <c r="J7" s="32">
        <f t="shared" si="4"/>
        <v>0</v>
      </c>
    </row>
    <row r="8">
      <c r="A8" s="33" t="s">
        <v>51</v>
      </c>
      <c r="B8" s="28" t="s">
        <v>16</v>
      </c>
      <c r="C8" s="28" t="s">
        <v>45</v>
      </c>
      <c r="D8" s="28">
        <v>20.0</v>
      </c>
      <c r="E8" s="30">
        <v>4200.0</v>
      </c>
      <c r="F8" s="31"/>
      <c r="G8" s="30">
        <f t="shared" si="1"/>
        <v>84000</v>
      </c>
      <c r="H8" s="31">
        <f t="shared" si="2"/>
        <v>0</v>
      </c>
      <c r="I8" s="31">
        <f t="shared" si="3"/>
        <v>0</v>
      </c>
      <c r="J8" s="32">
        <f t="shared" si="4"/>
        <v>0</v>
      </c>
    </row>
    <row r="9">
      <c r="A9" s="33" t="s">
        <v>52</v>
      </c>
      <c r="B9" s="28" t="s">
        <v>16</v>
      </c>
      <c r="C9" s="28" t="s">
        <v>45</v>
      </c>
      <c r="D9" s="28">
        <v>7160.0</v>
      </c>
      <c r="E9" s="30">
        <v>40.0</v>
      </c>
      <c r="F9" s="31"/>
      <c r="G9" s="30">
        <f t="shared" si="1"/>
        <v>286400</v>
      </c>
      <c r="H9" s="31">
        <f t="shared" si="2"/>
        <v>0</v>
      </c>
      <c r="I9" s="31">
        <f t="shared" si="3"/>
        <v>0</v>
      </c>
      <c r="J9" s="32">
        <f t="shared" si="4"/>
        <v>0</v>
      </c>
    </row>
    <row r="10">
      <c r="A10" s="33" t="s">
        <v>53</v>
      </c>
      <c r="B10" s="28" t="s">
        <v>16</v>
      </c>
      <c r="C10" s="28" t="s">
        <v>45</v>
      </c>
      <c r="D10" s="28">
        <v>10.0</v>
      </c>
      <c r="E10" s="30">
        <v>4435.0</v>
      </c>
      <c r="F10" s="31"/>
      <c r="G10" s="30">
        <f t="shared" si="1"/>
        <v>44350</v>
      </c>
      <c r="H10" s="31">
        <f t="shared" si="2"/>
        <v>0</v>
      </c>
      <c r="I10" s="31">
        <f t="shared" si="3"/>
        <v>0</v>
      </c>
      <c r="J10" s="32">
        <f t="shared" si="4"/>
        <v>0</v>
      </c>
    </row>
    <row r="11">
      <c r="A11" s="35" t="s">
        <v>54</v>
      </c>
      <c r="B11" s="28" t="s">
        <v>16</v>
      </c>
      <c r="C11" s="28" t="s">
        <v>45</v>
      </c>
      <c r="D11" s="28">
        <v>23.0</v>
      </c>
      <c r="E11" s="30">
        <v>963.0</v>
      </c>
      <c r="F11" s="31"/>
      <c r="G11" s="30">
        <f t="shared" si="1"/>
        <v>22149</v>
      </c>
      <c r="H11" s="31">
        <f t="shared" si="2"/>
        <v>0</v>
      </c>
      <c r="I11" s="31">
        <f t="shared" si="3"/>
        <v>0</v>
      </c>
      <c r="J11" s="32">
        <f t="shared" si="4"/>
        <v>0</v>
      </c>
    </row>
    <row r="12">
      <c r="A12" s="36" t="s">
        <v>55</v>
      </c>
      <c r="B12" s="28" t="s">
        <v>16</v>
      </c>
      <c r="C12" s="28" t="s">
        <v>45</v>
      </c>
      <c r="D12" s="28">
        <v>60.0</v>
      </c>
      <c r="E12" s="30">
        <v>740.0</v>
      </c>
      <c r="F12" s="30"/>
      <c r="G12" s="30">
        <f t="shared" si="1"/>
        <v>44400</v>
      </c>
      <c r="H12" s="31">
        <f t="shared" si="2"/>
        <v>0</v>
      </c>
      <c r="I12" s="31">
        <f t="shared" si="3"/>
        <v>0</v>
      </c>
      <c r="J12" s="32">
        <f t="shared" si="4"/>
        <v>0</v>
      </c>
    </row>
    <row r="13">
      <c r="A13" s="36" t="s">
        <v>56</v>
      </c>
      <c r="B13" s="28" t="s">
        <v>16</v>
      </c>
      <c r="C13" s="28" t="s">
        <v>45</v>
      </c>
      <c r="D13" s="28">
        <v>60.0</v>
      </c>
      <c r="E13" s="30">
        <v>826.0</v>
      </c>
      <c r="F13" s="30"/>
      <c r="G13" s="30">
        <f t="shared" si="1"/>
        <v>49560</v>
      </c>
      <c r="H13" s="31">
        <f t="shared" si="2"/>
        <v>0</v>
      </c>
      <c r="I13" s="31">
        <f t="shared" si="3"/>
        <v>0</v>
      </c>
      <c r="J13" s="32">
        <f t="shared" si="4"/>
        <v>0</v>
      </c>
    </row>
    <row r="14">
      <c r="A14" s="36" t="s">
        <v>57</v>
      </c>
      <c r="B14" s="28" t="s">
        <v>16</v>
      </c>
      <c r="C14" s="28" t="s">
        <v>45</v>
      </c>
      <c r="D14" s="28">
        <v>163.0</v>
      </c>
      <c r="E14" s="30">
        <v>770.0</v>
      </c>
      <c r="F14" s="30"/>
      <c r="G14" s="30">
        <f t="shared" si="1"/>
        <v>125510</v>
      </c>
      <c r="H14" s="31">
        <f t="shared" si="2"/>
        <v>0</v>
      </c>
      <c r="I14" s="31">
        <f t="shared" si="3"/>
        <v>0</v>
      </c>
      <c r="J14" s="32">
        <f t="shared" si="4"/>
        <v>0</v>
      </c>
    </row>
    <row r="15">
      <c r="A15" s="37" t="s">
        <v>58</v>
      </c>
      <c r="B15" s="28" t="s">
        <v>16</v>
      </c>
      <c r="C15" s="28" t="s">
        <v>45</v>
      </c>
      <c r="D15" s="28">
        <v>45.0</v>
      </c>
      <c r="E15" s="30">
        <v>1895.0</v>
      </c>
      <c r="F15" s="31"/>
      <c r="G15" s="30">
        <f t="shared" si="1"/>
        <v>85275</v>
      </c>
      <c r="H15" s="31">
        <f t="shared" si="2"/>
        <v>0</v>
      </c>
      <c r="I15" s="31">
        <f t="shared" si="3"/>
        <v>0</v>
      </c>
      <c r="J15" s="32">
        <f t="shared" si="4"/>
        <v>0</v>
      </c>
    </row>
    <row r="16">
      <c r="A16" s="37" t="s">
        <v>59</v>
      </c>
      <c r="B16" s="28" t="s">
        <v>16</v>
      </c>
      <c r="C16" s="28" t="s">
        <v>45</v>
      </c>
      <c r="D16" s="28">
        <v>1.0</v>
      </c>
      <c r="E16" s="30">
        <v>11400.0</v>
      </c>
      <c r="F16" s="31"/>
      <c r="G16" s="30">
        <f t="shared" si="1"/>
        <v>11400</v>
      </c>
      <c r="H16" s="31">
        <f t="shared" si="2"/>
        <v>0</v>
      </c>
      <c r="I16" s="31">
        <f t="shared" si="3"/>
        <v>0</v>
      </c>
      <c r="J16" s="32">
        <f t="shared" si="4"/>
        <v>0</v>
      </c>
    </row>
    <row r="17">
      <c r="A17" s="35" t="s">
        <v>60</v>
      </c>
      <c r="B17" s="28" t="s">
        <v>16</v>
      </c>
      <c r="C17" s="28" t="s">
        <v>45</v>
      </c>
      <c r="D17" s="28">
        <v>5.0</v>
      </c>
      <c r="E17" s="30">
        <v>7400.0</v>
      </c>
      <c r="F17" s="31"/>
      <c r="G17" s="30">
        <f t="shared" si="1"/>
        <v>37000</v>
      </c>
      <c r="H17" s="31">
        <f t="shared" si="2"/>
        <v>0</v>
      </c>
      <c r="I17" s="31">
        <f t="shared" si="3"/>
        <v>0</v>
      </c>
      <c r="J17" s="32">
        <f t="shared" si="4"/>
        <v>0</v>
      </c>
    </row>
    <row r="18">
      <c r="A18" s="35" t="s">
        <v>61</v>
      </c>
      <c r="B18" s="28" t="s">
        <v>16</v>
      </c>
      <c r="C18" s="28" t="s">
        <v>45</v>
      </c>
      <c r="D18" s="28">
        <v>5.0</v>
      </c>
      <c r="E18" s="30">
        <v>5970.0</v>
      </c>
      <c r="F18" s="31"/>
      <c r="G18" s="30">
        <f t="shared" si="1"/>
        <v>29850</v>
      </c>
      <c r="H18" s="31">
        <f t="shared" si="2"/>
        <v>0</v>
      </c>
      <c r="I18" s="31">
        <f t="shared" si="3"/>
        <v>0</v>
      </c>
      <c r="J18" s="32">
        <f t="shared" si="4"/>
        <v>0</v>
      </c>
    </row>
    <row r="19">
      <c r="A19" s="38" t="s">
        <v>62</v>
      </c>
      <c r="B19" s="28" t="s">
        <v>16</v>
      </c>
      <c r="C19" s="28" t="s">
        <v>45</v>
      </c>
      <c r="D19" s="28">
        <v>25.0</v>
      </c>
      <c r="E19" s="30">
        <v>3995.0</v>
      </c>
      <c r="F19" s="31"/>
      <c r="G19" s="30">
        <f t="shared" si="1"/>
        <v>99875</v>
      </c>
      <c r="H19" s="31">
        <f t="shared" si="2"/>
        <v>0</v>
      </c>
      <c r="I19" s="31">
        <f t="shared" si="3"/>
        <v>0</v>
      </c>
      <c r="J19" s="32">
        <f t="shared" si="4"/>
        <v>0</v>
      </c>
    </row>
    <row r="20">
      <c r="A20" s="37" t="s">
        <v>63</v>
      </c>
      <c r="B20" s="28" t="s">
        <v>16</v>
      </c>
      <c r="C20" s="28" t="s">
        <v>45</v>
      </c>
      <c r="D20" s="28">
        <v>1.0</v>
      </c>
      <c r="E20" s="30">
        <v>17850.0</v>
      </c>
      <c r="F20" s="31"/>
      <c r="G20" s="30">
        <f t="shared" si="1"/>
        <v>17850</v>
      </c>
      <c r="H20" s="31">
        <f t="shared" si="2"/>
        <v>0</v>
      </c>
      <c r="I20" s="31">
        <f t="shared" si="3"/>
        <v>0</v>
      </c>
      <c r="J20" s="32">
        <f t="shared" si="4"/>
        <v>0</v>
      </c>
    </row>
    <row r="21">
      <c r="A21" s="39" t="s">
        <v>64</v>
      </c>
      <c r="B21" s="28" t="s">
        <v>16</v>
      </c>
      <c r="C21" s="40" t="s">
        <v>45</v>
      </c>
      <c r="D21" s="28">
        <v>1.0</v>
      </c>
      <c r="E21" s="30">
        <v>15000.0</v>
      </c>
      <c r="F21" s="31"/>
      <c r="G21" s="30">
        <f t="shared" si="1"/>
        <v>15000</v>
      </c>
      <c r="H21" s="31">
        <f t="shared" si="2"/>
        <v>0</v>
      </c>
      <c r="I21" s="31">
        <f t="shared" si="3"/>
        <v>0</v>
      </c>
      <c r="J21" s="32">
        <f t="shared" si="4"/>
        <v>0</v>
      </c>
    </row>
    <row r="22">
      <c r="A22" s="37" t="s">
        <v>65</v>
      </c>
      <c r="B22" s="28" t="s">
        <v>16</v>
      </c>
      <c r="C22" s="40" t="s">
        <v>45</v>
      </c>
      <c r="D22" s="28">
        <v>9.0</v>
      </c>
      <c r="E22" s="30">
        <v>3655.0</v>
      </c>
      <c r="F22" s="31"/>
      <c r="G22" s="30">
        <f t="shared" si="1"/>
        <v>32895</v>
      </c>
      <c r="H22" s="31">
        <f t="shared" si="2"/>
        <v>0</v>
      </c>
      <c r="I22" s="31">
        <f t="shared" si="3"/>
        <v>0</v>
      </c>
      <c r="J22" s="32">
        <f t="shared" si="4"/>
        <v>0</v>
      </c>
    </row>
    <row r="23">
      <c r="A23" s="39" t="s">
        <v>66</v>
      </c>
      <c r="B23" s="28" t="s">
        <v>16</v>
      </c>
      <c r="C23" s="40" t="s">
        <v>45</v>
      </c>
      <c r="D23" s="28">
        <v>1.0</v>
      </c>
      <c r="E23" s="30">
        <v>17775.0</v>
      </c>
      <c r="F23" s="31"/>
      <c r="G23" s="30">
        <f t="shared" si="1"/>
        <v>17775</v>
      </c>
      <c r="H23" s="31">
        <f t="shared" si="2"/>
        <v>0</v>
      </c>
      <c r="I23" s="31">
        <f t="shared" si="3"/>
        <v>0</v>
      </c>
      <c r="J23" s="32">
        <f t="shared" si="4"/>
        <v>0</v>
      </c>
    </row>
    <row r="24">
      <c r="A24" s="35" t="s">
        <v>67</v>
      </c>
      <c r="B24" s="28" t="s">
        <v>16</v>
      </c>
      <c r="C24" s="40" t="s">
        <v>45</v>
      </c>
      <c r="D24" s="28">
        <v>1.0</v>
      </c>
      <c r="E24" s="30">
        <v>7790.0</v>
      </c>
      <c r="F24" s="31"/>
      <c r="G24" s="30">
        <f t="shared" si="1"/>
        <v>7790</v>
      </c>
      <c r="H24" s="31">
        <f t="shared" si="2"/>
        <v>0</v>
      </c>
      <c r="I24" s="31">
        <f t="shared" si="3"/>
        <v>0</v>
      </c>
      <c r="J24" s="32">
        <f t="shared" si="4"/>
        <v>0</v>
      </c>
    </row>
    <row r="25">
      <c r="A25" s="38" t="s">
        <v>68</v>
      </c>
      <c r="B25" s="28" t="s">
        <v>16</v>
      </c>
      <c r="C25" s="40" t="s">
        <v>45</v>
      </c>
      <c r="D25" s="28">
        <v>2.0</v>
      </c>
      <c r="E25" s="30">
        <v>35825.0</v>
      </c>
      <c r="F25" s="31"/>
      <c r="G25" s="30">
        <f t="shared" si="1"/>
        <v>71650</v>
      </c>
      <c r="H25" s="31">
        <f t="shared" si="2"/>
        <v>0</v>
      </c>
      <c r="I25" s="31">
        <f t="shared" si="3"/>
        <v>0</v>
      </c>
      <c r="J25" s="32">
        <f t="shared" si="4"/>
        <v>0</v>
      </c>
    </row>
    <row r="26">
      <c r="A26" s="38" t="s">
        <v>69</v>
      </c>
      <c r="B26" s="28" t="s">
        <v>16</v>
      </c>
      <c r="C26" s="40" t="s">
        <v>45</v>
      </c>
      <c r="D26" s="28">
        <v>15.0</v>
      </c>
      <c r="E26" s="30">
        <v>605.0</v>
      </c>
      <c r="F26" s="31"/>
      <c r="G26" s="30">
        <f t="shared" si="1"/>
        <v>9075</v>
      </c>
      <c r="H26" s="31">
        <f t="shared" si="2"/>
        <v>0</v>
      </c>
      <c r="I26" s="31">
        <f t="shared" si="3"/>
        <v>0</v>
      </c>
      <c r="J26" s="32">
        <f t="shared" si="4"/>
        <v>0</v>
      </c>
    </row>
    <row r="27">
      <c r="A27" s="35" t="s">
        <v>70</v>
      </c>
      <c r="B27" s="28" t="s">
        <v>16</v>
      </c>
      <c r="C27" s="40" t="s">
        <v>45</v>
      </c>
      <c r="D27" s="28">
        <v>2.0</v>
      </c>
      <c r="E27" s="30">
        <v>22375.0</v>
      </c>
      <c r="F27" s="31"/>
      <c r="G27" s="30">
        <f t="shared" si="1"/>
        <v>44750</v>
      </c>
      <c r="H27" s="31">
        <f t="shared" si="2"/>
        <v>0</v>
      </c>
      <c r="I27" s="31">
        <f t="shared" si="3"/>
        <v>0</v>
      </c>
      <c r="J27" s="32">
        <f t="shared" si="4"/>
        <v>0</v>
      </c>
    </row>
    <row r="28">
      <c r="A28" s="35" t="s">
        <v>71</v>
      </c>
      <c r="B28" s="28" t="s">
        <v>16</v>
      </c>
      <c r="C28" s="40" t="s">
        <v>45</v>
      </c>
      <c r="D28" s="28">
        <v>19.0</v>
      </c>
      <c r="E28" s="30">
        <v>1176.0</v>
      </c>
      <c r="F28" s="31"/>
      <c r="G28" s="30">
        <f t="shared" si="1"/>
        <v>22344</v>
      </c>
      <c r="H28" s="31">
        <f t="shared" si="2"/>
        <v>0</v>
      </c>
      <c r="I28" s="31">
        <f t="shared" si="3"/>
        <v>0</v>
      </c>
      <c r="J28" s="32">
        <f t="shared" si="4"/>
        <v>0</v>
      </c>
    </row>
    <row r="29">
      <c r="A29" s="41" t="s">
        <v>72</v>
      </c>
      <c r="B29" s="28" t="s">
        <v>16</v>
      </c>
      <c r="C29" s="40" t="s">
        <v>45</v>
      </c>
      <c r="D29" s="42">
        <v>14363.993</v>
      </c>
      <c r="E29" s="30">
        <v>104.14</v>
      </c>
      <c r="F29" s="31"/>
      <c r="G29" s="30">
        <f t="shared" si="1"/>
        <v>1495866.231</v>
      </c>
      <c r="H29" s="31">
        <f t="shared" si="2"/>
        <v>0</v>
      </c>
      <c r="I29" s="31">
        <f t="shared" si="3"/>
        <v>0</v>
      </c>
      <c r="J29" s="32">
        <f t="shared" si="4"/>
        <v>0</v>
      </c>
    </row>
    <row r="30">
      <c r="A30" s="43" t="s">
        <v>73</v>
      </c>
      <c r="B30" s="28" t="s">
        <v>16</v>
      </c>
      <c r="C30" s="28" t="s">
        <v>45</v>
      </c>
      <c r="D30" s="28">
        <v>120.775</v>
      </c>
      <c r="E30" s="30">
        <v>1067.0</v>
      </c>
      <c r="F30" s="30"/>
      <c r="G30" s="30">
        <f t="shared" si="1"/>
        <v>128866.925</v>
      </c>
      <c r="H30" s="31">
        <f t="shared" si="2"/>
        <v>0</v>
      </c>
      <c r="I30" s="31">
        <f t="shared" si="3"/>
        <v>0</v>
      </c>
      <c r="J30" s="32">
        <f t="shared" si="4"/>
        <v>0</v>
      </c>
    </row>
    <row r="31">
      <c r="A31" s="37" t="s">
        <v>74</v>
      </c>
      <c r="B31" s="28" t="s">
        <v>16</v>
      </c>
      <c r="C31" s="28" t="s">
        <v>45</v>
      </c>
      <c r="D31" s="44">
        <v>87209.0</v>
      </c>
      <c r="E31" s="30">
        <v>1.256</v>
      </c>
      <c r="F31" s="31"/>
      <c r="G31" s="30">
        <f t="shared" si="1"/>
        <v>109534.504</v>
      </c>
      <c r="H31" s="31">
        <f t="shared" si="2"/>
        <v>0</v>
      </c>
      <c r="I31" s="31">
        <f t="shared" si="3"/>
        <v>0</v>
      </c>
      <c r="J31" s="32">
        <f t="shared" si="4"/>
        <v>0</v>
      </c>
    </row>
    <row r="32">
      <c r="A32" s="41" t="s">
        <v>75</v>
      </c>
      <c r="B32" s="28" t="s">
        <v>16</v>
      </c>
      <c r="C32" s="28" t="s">
        <v>45</v>
      </c>
      <c r="D32" s="44">
        <v>40803.0</v>
      </c>
      <c r="E32" s="30">
        <v>1.161</v>
      </c>
      <c r="F32" s="31"/>
      <c r="G32" s="30">
        <f t="shared" si="1"/>
        <v>47372.283</v>
      </c>
      <c r="H32" s="31">
        <f t="shared" si="2"/>
        <v>0</v>
      </c>
      <c r="I32" s="31">
        <f t="shared" si="3"/>
        <v>0</v>
      </c>
      <c r="J32" s="32">
        <f t="shared" si="4"/>
        <v>0</v>
      </c>
    </row>
    <row r="33">
      <c r="A33" s="41" t="s">
        <v>76</v>
      </c>
      <c r="B33" s="28" t="s">
        <v>16</v>
      </c>
      <c r="C33" s="28" t="s">
        <v>45</v>
      </c>
      <c r="D33" s="44">
        <v>27000.0</v>
      </c>
      <c r="E33" s="30">
        <v>1.219</v>
      </c>
      <c r="F33" s="31"/>
      <c r="G33" s="30">
        <f t="shared" si="1"/>
        <v>32913</v>
      </c>
      <c r="H33" s="31">
        <f t="shared" si="2"/>
        <v>0</v>
      </c>
      <c r="I33" s="31">
        <f t="shared" si="3"/>
        <v>0</v>
      </c>
      <c r="J33" s="32">
        <f t="shared" si="4"/>
        <v>0</v>
      </c>
    </row>
    <row r="34">
      <c r="A34" s="36" t="s">
        <v>77</v>
      </c>
      <c r="B34" s="28" t="s">
        <v>16</v>
      </c>
      <c r="C34" s="28" t="s">
        <v>45</v>
      </c>
      <c r="D34" s="44">
        <v>1.0</v>
      </c>
      <c r="E34" s="30">
        <v>20647.0</v>
      </c>
      <c r="F34" s="31"/>
      <c r="G34" s="30">
        <f t="shared" si="1"/>
        <v>20647</v>
      </c>
      <c r="H34" s="31">
        <f t="shared" si="2"/>
        <v>0</v>
      </c>
      <c r="I34" s="31">
        <f t="shared" si="3"/>
        <v>0</v>
      </c>
      <c r="J34" s="32">
        <f t="shared" si="4"/>
        <v>0</v>
      </c>
    </row>
    <row r="35">
      <c r="A35" s="36" t="s">
        <v>52</v>
      </c>
      <c r="B35" s="28" t="s">
        <v>16</v>
      </c>
      <c r="C35" s="28" t="s">
        <v>45</v>
      </c>
      <c r="D35" s="44">
        <v>500.0</v>
      </c>
      <c r="E35" s="30">
        <v>40.0</v>
      </c>
      <c r="F35" s="31"/>
      <c r="G35" s="30">
        <f t="shared" si="1"/>
        <v>20000</v>
      </c>
      <c r="H35" s="31">
        <f t="shared" si="2"/>
        <v>0</v>
      </c>
      <c r="I35" s="31">
        <f t="shared" si="3"/>
        <v>0</v>
      </c>
      <c r="J35" s="32">
        <f t="shared" si="4"/>
        <v>0</v>
      </c>
    </row>
    <row r="36">
      <c r="A36" s="36" t="s">
        <v>49</v>
      </c>
      <c r="B36" s="28" t="s">
        <v>16</v>
      </c>
      <c r="C36" s="28" t="s">
        <v>45</v>
      </c>
      <c r="D36" s="44">
        <v>5.0</v>
      </c>
      <c r="E36" s="30">
        <v>2585.0</v>
      </c>
      <c r="F36" s="31"/>
      <c r="G36" s="30">
        <f t="shared" si="1"/>
        <v>12925</v>
      </c>
      <c r="H36" s="31">
        <f t="shared" si="2"/>
        <v>0</v>
      </c>
      <c r="I36" s="31">
        <f t="shared" si="3"/>
        <v>0</v>
      </c>
      <c r="J36" s="32">
        <f t="shared" si="4"/>
        <v>0</v>
      </c>
    </row>
    <row r="37">
      <c r="A37" s="36" t="s">
        <v>75</v>
      </c>
      <c r="B37" s="28" t="s">
        <v>16</v>
      </c>
      <c r="C37" s="28" t="s">
        <v>78</v>
      </c>
      <c r="D37" s="44">
        <v>17014.0</v>
      </c>
      <c r="E37" s="30">
        <v>1.16</v>
      </c>
      <c r="F37" s="30">
        <v>1.1755</v>
      </c>
      <c r="G37" s="30">
        <f t="shared" si="1"/>
        <v>19736.24</v>
      </c>
      <c r="H37" s="31">
        <f t="shared" si="2"/>
        <v>19999.957</v>
      </c>
      <c r="I37" s="31">
        <f t="shared" si="3"/>
        <v>263.717</v>
      </c>
      <c r="J37" s="32">
        <f t="shared" si="4"/>
        <v>0.01336206897</v>
      </c>
    </row>
    <row r="38">
      <c r="A38" s="37" t="s">
        <v>74</v>
      </c>
      <c r="B38" s="28" t="s">
        <v>16</v>
      </c>
      <c r="C38" s="28" t="s">
        <v>78</v>
      </c>
      <c r="D38" s="44">
        <v>87209.0</v>
      </c>
      <c r="E38" s="30">
        <v>1.256</v>
      </c>
      <c r="F38" s="30">
        <v>1.31</v>
      </c>
      <c r="G38" s="30">
        <f t="shared" si="1"/>
        <v>109534.504</v>
      </c>
      <c r="H38" s="31">
        <f t="shared" si="2"/>
        <v>114243.79</v>
      </c>
      <c r="I38" s="31">
        <f t="shared" si="3"/>
        <v>4709.286</v>
      </c>
      <c r="J38" s="32">
        <f t="shared" si="4"/>
        <v>0.04299363057</v>
      </c>
    </row>
    <row r="39">
      <c r="A39" s="36" t="s">
        <v>79</v>
      </c>
      <c r="B39" s="28" t="s">
        <v>16</v>
      </c>
      <c r="C39" s="28" t="s">
        <v>45</v>
      </c>
      <c r="D39" s="45">
        <v>74389.0</v>
      </c>
      <c r="E39" s="30">
        <v>1.5</v>
      </c>
      <c r="F39" s="31"/>
      <c r="G39" s="30">
        <f t="shared" si="1"/>
        <v>111583.5</v>
      </c>
      <c r="H39" s="31">
        <f t="shared" si="2"/>
        <v>0</v>
      </c>
      <c r="I39" s="31">
        <f t="shared" si="3"/>
        <v>0</v>
      </c>
      <c r="J39" s="32">
        <f t="shared" si="4"/>
        <v>0</v>
      </c>
    </row>
    <row r="40">
      <c r="A40" s="36" t="s">
        <v>80</v>
      </c>
      <c r="B40" s="28" t="s">
        <v>17</v>
      </c>
      <c r="C40" s="28" t="s">
        <v>45</v>
      </c>
      <c r="D40" s="45">
        <v>12.0</v>
      </c>
      <c r="E40" s="30">
        <v>1169.9</v>
      </c>
      <c r="F40" s="31"/>
      <c r="G40" s="30">
        <f t="shared" si="1"/>
        <v>14038.8</v>
      </c>
      <c r="H40" s="31">
        <f t="shared" si="2"/>
        <v>0</v>
      </c>
      <c r="I40" s="31">
        <f t="shared" si="3"/>
        <v>0</v>
      </c>
      <c r="J40" s="32">
        <f t="shared" si="4"/>
        <v>0</v>
      </c>
    </row>
    <row r="41">
      <c r="A41" s="41" t="s">
        <v>72</v>
      </c>
      <c r="B41" s="28" t="s">
        <v>17</v>
      </c>
      <c r="C41" s="28" t="s">
        <v>78</v>
      </c>
      <c r="D41" s="45">
        <v>3862.0</v>
      </c>
      <c r="E41" s="30">
        <v>104.14</v>
      </c>
      <c r="F41" s="30">
        <v>113.16</v>
      </c>
      <c r="G41" s="30">
        <f t="shared" si="1"/>
        <v>402188.68</v>
      </c>
      <c r="H41" s="31">
        <f t="shared" si="2"/>
        <v>437023.92</v>
      </c>
      <c r="I41" s="31">
        <f t="shared" si="3"/>
        <v>34835.24</v>
      </c>
      <c r="J41" s="32">
        <f t="shared" si="4"/>
        <v>0.08661417323</v>
      </c>
    </row>
    <row r="42">
      <c r="A42" s="36" t="s">
        <v>76</v>
      </c>
      <c r="B42" s="28" t="s">
        <v>17</v>
      </c>
      <c r="C42" s="28" t="s">
        <v>45</v>
      </c>
      <c r="D42" s="45">
        <v>391711.0</v>
      </c>
      <c r="E42" s="30">
        <v>1.27</v>
      </c>
      <c r="F42" s="31"/>
      <c r="G42" s="30">
        <f t="shared" si="1"/>
        <v>497472.97</v>
      </c>
      <c r="H42" s="31">
        <f t="shared" si="2"/>
        <v>0</v>
      </c>
      <c r="I42" s="31">
        <f t="shared" si="3"/>
        <v>0</v>
      </c>
      <c r="J42" s="32">
        <f t="shared" si="4"/>
        <v>0</v>
      </c>
    </row>
    <row r="43">
      <c r="A43" s="36" t="s">
        <v>81</v>
      </c>
      <c r="B43" s="28" t="s">
        <v>17</v>
      </c>
      <c r="C43" s="28" t="s">
        <v>45</v>
      </c>
      <c r="D43" s="45">
        <v>444714.0</v>
      </c>
      <c r="E43" s="30">
        <v>1.11175</v>
      </c>
      <c r="F43" s="31"/>
      <c r="G43" s="30">
        <f t="shared" si="1"/>
        <v>494410.7895</v>
      </c>
      <c r="H43" s="31">
        <f t="shared" si="2"/>
        <v>0</v>
      </c>
      <c r="I43" s="31">
        <f t="shared" si="3"/>
        <v>0</v>
      </c>
      <c r="J43" s="32">
        <f t="shared" si="4"/>
        <v>0</v>
      </c>
    </row>
    <row r="44">
      <c r="A44" s="36" t="s">
        <v>79</v>
      </c>
      <c r="B44" s="28" t="s">
        <v>17</v>
      </c>
      <c r="C44" s="28" t="s">
        <v>78</v>
      </c>
      <c r="D44" s="45">
        <v>74389.0</v>
      </c>
      <c r="E44" s="30">
        <v>1.5</v>
      </c>
      <c r="F44" s="30">
        <v>1.5828</v>
      </c>
      <c r="G44" s="30">
        <f t="shared" si="1"/>
        <v>111583.5</v>
      </c>
      <c r="H44" s="31">
        <f t="shared" si="2"/>
        <v>117742.9092</v>
      </c>
      <c r="I44" s="31">
        <f t="shared" si="3"/>
        <v>6159.4092</v>
      </c>
      <c r="J44" s="32">
        <f t="shared" si="4"/>
        <v>0.0552</v>
      </c>
    </row>
    <row r="45">
      <c r="A45" s="36" t="s">
        <v>82</v>
      </c>
      <c r="B45" s="28" t="s">
        <v>17</v>
      </c>
      <c r="C45" s="28" t="s">
        <v>45</v>
      </c>
      <c r="D45" s="45">
        <v>493143.0</v>
      </c>
      <c r="E45" s="30">
        <v>1.25</v>
      </c>
      <c r="F45" s="31"/>
      <c r="G45" s="30">
        <f t="shared" si="1"/>
        <v>616428.75</v>
      </c>
      <c r="H45" s="31">
        <f t="shared" si="2"/>
        <v>0</v>
      </c>
      <c r="I45" s="31">
        <f t="shared" si="3"/>
        <v>0</v>
      </c>
      <c r="J45" s="32">
        <f t="shared" si="4"/>
        <v>0</v>
      </c>
    </row>
    <row r="46">
      <c r="A46" s="36" t="s">
        <v>82</v>
      </c>
      <c r="B46" s="28" t="s">
        <v>18</v>
      </c>
      <c r="C46" s="28" t="s">
        <v>45</v>
      </c>
      <c r="D46" s="45">
        <v>398464.0</v>
      </c>
      <c r="E46" s="30">
        <v>1.26482</v>
      </c>
      <c r="F46" s="31"/>
      <c r="G46" s="30">
        <f t="shared" si="1"/>
        <v>503985.2365</v>
      </c>
      <c r="H46" s="31">
        <f t="shared" ref="H46:H47" si="5">F46*D47</f>
        <v>0</v>
      </c>
      <c r="I46" s="31">
        <f t="shared" si="3"/>
        <v>0</v>
      </c>
      <c r="J46" s="32">
        <f t="shared" si="4"/>
        <v>0</v>
      </c>
    </row>
    <row r="47">
      <c r="A47" s="36" t="s">
        <v>76</v>
      </c>
      <c r="B47" s="46" t="s">
        <v>18</v>
      </c>
      <c r="C47" s="28" t="s">
        <v>45</v>
      </c>
      <c r="D47" s="45">
        <v>785211.0</v>
      </c>
      <c r="E47" s="30">
        <v>1.2837</v>
      </c>
      <c r="F47" s="31"/>
      <c r="G47" s="30">
        <f t="shared" si="1"/>
        <v>1007975.361</v>
      </c>
      <c r="H47" s="31">
        <f t="shared" si="5"/>
        <v>0</v>
      </c>
      <c r="I47" s="31">
        <f t="shared" si="3"/>
        <v>0</v>
      </c>
      <c r="J47" s="32">
        <f t="shared" si="4"/>
        <v>0</v>
      </c>
    </row>
    <row r="48">
      <c r="A48" s="33" t="s">
        <v>53</v>
      </c>
      <c r="B48" s="46" t="s">
        <v>18</v>
      </c>
      <c r="C48" s="28" t="s">
        <v>78</v>
      </c>
      <c r="D48" s="28">
        <v>10.0</v>
      </c>
      <c r="E48" s="30">
        <v>4435.0</v>
      </c>
      <c r="F48" s="30">
        <v>3450.0</v>
      </c>
      <c r="G48" s="30">
        <f t="shared" si="1"/>
        <v>44350</v>
      </c>
      <c r="H48" s="31">
        <f t="shared" ref="H48:H82" si="6">F48*D48</f>
        <v>34500</v>
      </c>
      <c r="I48" s="31">
        <f t="shared" si="3"/>
        <v>0</v>
      </c>
      <c r="J48" s="32">
        <f t="shared" si="4"/>
        <v>0</v>
      </c>
    </row>
    <row r="49">
      <c r="A49" s="36" t="s">
        <v>56</v>
      </c>
      <c r="B49" s="46" t="s">
        <v>18</v>
      </c>
      <c r="C49" s="28" t="s">
        <v>78</v>
      </c>
      <c r="D49" s="28">
        <v>60.0</v>
      </c>
      <c r="E49" s="30">
        <v>826.0</v>
      </c>
      <c r="F49" s="30">
        <v>854.0</v>
      </c>
      <c r="G49" s="30">
        <f t="shared" si="1"/>
        <v>49560</v>
      </c>
      <c r="H49" s="31">
        <f t="shared" si="6"/>
        <v>51240</v>
      </c>
      <c r="I49" s="31">
        <f t="shared" si="3"/>
        <v>1680</v>
      </c>
      <c r="J49" s="32">
        <f t="shared" si="4"/>
        <v>0.03389830508</v>
      </c>
    </row>
    <row r="50">
      <c r="A50" s="36" t="s">
        <v>83</v>
      </c>
      <c r="B50" s="46" t="s">
        <v>18</v>
      </c>
      <c r="C50" s="28" t="s">
        <v>45</v>
      </c>
      <c r="D50" s="45">
        <v>93074.373</v>
      </c>
      <c r="E50" s="30">
        <v>5.34195</v>
      </c>
      <c r="F50" s="31"/>
      <c r="G50" s="30">
        <f t="shared" si="1"/>
        <v>497198.6468</v>
      </c>
      <c r="H50" s="31">
        <f t="shared" si="6"/>
        <v>0</v>
      </c>
      <c r="I50" s="31">
        <f t="shared" si="3"/>
        <v>0</v>
      </c>
      <c r="J50" s="32">
        <f t="shared" si="4"/>
        <v>0</v>
      </c>
    </row>
    <row r="51">
      <c r="A51" s="36" t="s">
        <v>84</v>
      </c>
      <c r="B51" s="47" t="s">
        <v>18</v>
      </c>
      <c r="C51" s="28" t="s">
        <v>45</v>
      </c>
      <c r="D51" s="45">
        <v>6370.625152</v>
      </c>
      <c r="E51" s="30">
        <v>78.473735</v>
      </c>
      <c r="F51" s="31"/>
      <c r="G51" s="30">
        <f t="shared" si="1"/>
        <v>499926.75</v>
      </c>
      <c r="H51" s="31">
        <f t="shared" si="6"/>
        <v>0</v>
      </c>
      <c r="I51" s="31">
        <f t="shared" si="3"/>
        <v>0</v>
      </c>
      <c r="J51" s="32">
        <f t="shared" si="4"/>
        <v>0</v>
      </c>
    </row>
    <row r="52">
      <c r="A52" s="36" t="s">
        <v>85</v>
      </c>
      <c r="B52" s="47" t="s">
        <v>18</v>
      </c>
      <c r="C52" s="28" t="s">
        <v>45</v>
      </c>
      <c r="D52" s="45">
        <v>5039.09</v>
      </c>
      <c r="E52" s="30">
        <v>59.534602</v>
      </c>
      <c r="F52" s="31"/>
      <c r="G52" s="30">
        <f t="shared" si="1"/>
        <v>300000.2176</v>
      </c>
      <c r="H52" s="31">
        <f t="shared" si="6"/>
        <v>0</v>
      </c>
      <c r="I52" s="31">
        <f t="shared" si="3"/>
        <v>0</v>
      </c>
      <c r="J52" s="32">
        <f t="shared" si="4"/>
        <v>0</v>
      </c>
    </row>
    <row r="53">
      <c r="A53" s="36" t="s">
        <v>86</v>
      </c>
      <c r="B53" s="47" t="s">
        <v>18</v>
      </c>
      <c r="C53" s="28" t="s">
        <v>45</v>
      </c>
      <c r="D53" s="45">
        <v>9615.98</v>
      </c>
      <c r="E53" s="30">
        <v>103.993638</v>
      </c>
      <c r="F53" s="31"/>
      <c r="G53" s="30">
        <f t="shared" si="1"/>
        <v>1000000.743</v>
      </c>
      <c r="H53" s="31">
        <f t="shared" si="6"/>
        <v>0</v>
      </c>
      <c r="I53" s="31">
        <f t="shared" si="3"/>
        <v>0</v>
      </c>
      <c r="J53" s="32">
        <f t="shared" si="4"/>
        <v>0</v>
      </c>
    </row>
    <row r="54">
      <c r="A54" s="36" t="s">
        <v>87</v>
      </c>
      <c r="B54" s="47" t="s">
        <v>18</v>
      </c>
      <c r="C54" s="28" t="s">
        <v>45</v>
      </c>
      <c r="D54" s="45">
        <v>2374.82</v>
      </c>
      <c r="E54" s="30">
        <v>421.085741</v>
      </c>
      <c r="F54" s="31"/>
      <c r="G54" s="30">
        <f t="shared" si="1"/>
        <v>1000002.839</v>
      </c>
      <c r="H54" s="31">
        <f t="shared" si="6"/>
        <v>0</v>
      </c>
      <c r="I54" s="31">
        <f t="shared" si="3"/>
        <v>0</v>
      </c>
      <c r="J54" s="32">
        <f t="shared" si="4"/>
        <v>0</v>
      </c>
    </row>
    <row r="55">
      <c r="A55" s="36" t="s">
        <v>82</v>
      </c>
      <c r="B55" s="47" t="s">
        <v>18</v>
      </c>
      <c r="C55" s="28" t="s">
        <v>78</v>
      </c>
      <c r="D55" s="45">
        <v>891607.0</v>
      </c>
      <c r="E55" s="30">
        <v>1.25</v>
      </c>
      <c r="F55" s="30">
        <v>1.26</v>
      </c>
      <c r="G55" s="30">
        <f t="shared" si="1"/>
        <v>1114508.75</v>
      </c>
      <c r="H55" s="31">
        <f t="shared" si="6"/>
        <v>1123424.82</v>
      </c>
      <c r="I55" s="31">
        <f t="shared" si="3"/>
        <v>8916.07</v>
      </c>
      <c r="J55" s="32">
        <f t="shared" si="4"/>
        <v>0.008</v>
      </c>
    </row>
    <row r="56">
      <c r="A56" s="36" t="s">
        <v>88</v>
      </c>
      <c r="B56" s="47" t="s">
        <v>18</v>
      </c>
      <c r="C56" s="28" t="s">
        <v>45</v>
      </c>
      <c r="D56" s="45">
        <v>394448.0</v>
      </c>
      <c r="E56" s="30">
        <v>1.266</v>
      </c>
      <c r="F56" s="48"/>
      <c r="G56" s="30">
        <f t="shared" si="1"/>
        <v>499371.168</v>
      </c>
      <c r="H56" s="31">
        <f t="shared" si="6"/>
        <v>0</v>
      </c>
      <c r="I56" s="31">
        <f t="shared" si="3"/>
        <v>0</v>
      </c>
      <c r="J56" s="32">
        <f t="shared" si="4"/>
        <v>0</v>
      </c>
    </row>
    <row r="57">
      <c r="A57" s="36" t="s">
        <v>89</v>
      </c>
      <c r="B57" s="47" t="s">
        <v>18</v>
      </c>
      <c r="C57" s="28" t="s">
        <v>45</v>
      </c>
      <c r="D57" s="45">
        <v>476337.0</v>
      </c>
      <c r="E57" s="30">
        <v>1.306</v>
      </c>
      <c r="F57" s="48"/>
      <c r="G57" s="30">
        <f t="shared" si="1"/>
        <v>622096.122</v>
      </c>
      <c r="H57" s="31">
        <f t="shared" si="6"/>
        <v>0</v>
      </c>
      <c r="I57" s="31">
        <f t="shared" si="3"/>
        <v>0</v>
      </c>
      <c r="J57" s="32">
        <f t="shared" si="4"/>
        <v>0</v>
      </c>
    </row>
    <row r="58">
      <c r="A58" s="36" t="s">
        <v>90</v>
      </c>
      <c r="B58" s="47" t="s">
        <v>18</v>
      </c>
      <c r="C58" s="28" t="s">
        <v>45</v>
      </c>
      <c r="D58" s="45">
        <v>38715.0435</v>
      </c>
      <c r="E58" s="30">
        <v>12.9</v>
      </c>
      <c r="F58" s="48"/>
      <c r="G58" s="30">
        <f t="shared" si="1"/>
        <v>499424.0612</v>
      </c>
      <c r="H58" s="31">
        <f t="shared" si="6"/>
        <v>0</v>
      </c>
      <c r="I58" s="31">
        <f t="shared" si="3"/>
        <v>0</v>
      </c>
      <c r="J58" s="32">
        <f t="shared" si="4"/>
        <v>0</v>
      </c>
    </row>
    <row r="59">
      <c r="A59" s="36" t="s">
        <v>91</v>
      </c>
      <c r="B59" s="47" t="s">
        <v>20</v>
      </c>
      <c r="C59" s="28" t="s">
        <v>78</v>
      </c>
      <c r="D59" s="45">
        <v>444714.0</v>
      </c>
      <c r="E59" s="30">
        <v>1.11175</v>
      </c>
      <c r="F59" s="30">
        <v>1.047</v>
      </c>
      <c r="G59" s="30">
        <f t="shared" si="1"/>
        <v>494410.7895</v>
      </c>
      <c r="H59" s="31">
        <f t="shared" si="6"/>
        <v>465615.558</v>
      </c>
      <c r="I59" s="31">
        <f t="shared" si="3"/>
        <v>0</v>
      </c>
      <c r="J59" s="32">
        <f t="shared" si="4"/>
        <v>0</v>
      </c>
    </row>
    <row r="60">
      <c r="A60" s="41" t="s">
        <v>92</v>
      </c>
      <c r="B60" s="47" t="s">
        <v>20</v>
      </c>
      <c r="C60" s="28" t="s">
        <v>45</v>
      </c>
      <c r="D60" s="45">
        <v>99.0</v>
      </c>
      <c r="E60" s="30">
        <v>1315.0625</v>
      </c>
      <c r="F60" s="30"/>
      <c r="G60" s="30">
        <f t="shared" si="1"/>
        <v>130191.1875</v>
      </c>
      <c r="H60" s="31">
        <f t="shared" si="6"/>
        <v>0</v>
      </c>
      <c r="I60" s="31">
        <f t="shared" si="3"/>
        <v>0</v>
      </c>
      <c r="J60" s="32">
        <f t="shared" si="4"/>
        <v>0</v>
      </c>
    </row>
    <row r="61">
      <c r="A61" s="41" t="s">
        <v>93</v>
      </c>
      <c r="B61" s="47" t="s">
        <v>20</v>
      </c>
      <c r="C61" s="28" t="s">
        <v>45</v>
      </c>
      <c r="D61" s="45">
        <v>98.0</v>
      </c>
      <c r="E61" s="30">
        <v>1197.8</v>
      </c>
      <c r="F61" s="30"/>
      <c r="G61" s="30">
        <f t="shared" si="1"/>
        <v>117384.4</v>
      </c>
      <c r="H61" s="31">
        <f t="shared" si="6"/>
        <v>0</v>
      </c>
      <c r="I61" s="31">
        <f t="shared" si="3"/>
        <v>0</v>
      </c>
      <c r="J61" s="32">
        <f t="shared" si="4"/>
        <v>0</v>
      </c>
    </row>
    <row r="62">
      <c r="A62" s="41" t="s">
        <v>94</v>
      </c>
      <c r="B62" s="47" t="s">
        <v>20</v>
      </c>
      <c r="C62" s="28" t="s">
        <v>45</v>
      </c>
      <c r="D62" s="45">
        <v>98.0</v>
      </c>
      <c r="E62" s="30">
        <v>1135.0</v>
      </c>
      <c r="G62" s="30">
        <f t="shared" si="1"/>
        <v>111230</v>
      </c>
      <c r="H62" s="31">
        <f t="shared" si="6"/>
        <v>0</v>
      </c>
      <c r="I62" s="31">
        <f t="shared" si="3"/>
        <v>0</v>
      </c>
      <c r="J62" s="32">
        <f t="shared" si="4"/>
        <v>0</v>
      </c>
    </row>
    <row r="63">
      <c r="A63" s="49" t="s">
        <v>85</v>
      </c>
      <c r="B63" s="47" t="s">
        <v>20</v>
      </c>
      <c r="C63" s="28" t="s">
        <v>45</v>
      </c>
      <c r="D63" s="45">
        <v>10805.0</v>
      </c>
      <c r="E63" s="30">
        <v>60.515077</v>
      </c>
      <c r="F63" s="50"/>
      <c r="G63" s="30">
        <f t="shared" si="1"/>
        <v>653865.407</v>
      </c>
      <c r="H63" s="31">
        <f t="shared" si="6"/>
        <v>0</v>
      </c>
      <c r="I63" s="31">
        <f t="shared" si="3"/>
        <v>0</v>
      </c>
      <c r="J63" s="32">
        <f t="shared" si="4"/>
        <v>0</v>
      </c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>
      <c r="A64" s="36" t="s">
        <v>57</v>
      </c>
      <c r="B64" s="47" t="s">
        <v>20</v>
      </c>
      <c r="C64" s="28" t="s">
        <v>78</v>
      </c>
      <c r="D64" s="28">
        <v>163.0</v>
      </c>
      <c r="E64" s="30">
        <v>770.0</v>
      </c>
      <c r="F64" s="30">
        <v>740.0</v>
      </c>
      <c r="G64" s="30">
        <f t="shared" si="1"/>
        <v>125510</v>
      </c>
      <c r="H64" s="31">
        <f t="shared" si="6"/>
        <v>120620</v>
      </c>
      <c r="I64" s="31">
        <f t="shared" si="3"/>
        <v>0</v>
      </c>
      <c r="J64" s="32">
        <f t="shared" si="4"/>
        <v>0</v>
      </c>
    </row>
    <row r="65">
      <c r="A65" s="36" t="s">
        <v>84</v>
      </c>
      <c r="B65" s="47" t="s">
        <v>20</v>
      </c>
      <c r="C65" s="28" t="s">
        <v>45</v>
      </c>
      <c r="D65" s="45">
        <v>6669.145934</v>
      </c>
      <c r="E65" s="30">
        <v>82.169442</v>
      </c>
      <c r="F65" s="30"/>
      <c r="G65" s="30">
        <f t="shared" si="1"/>
        <v>548000</v>
      </c>
      <c r="H65" s="31">
        <f t="shared" si="6"/>
        <v>0</v>
      </c>
      <c r="I65" s="31">
        <f t="shared" si="3"/>
        <v>0</v>
      </c>
      <c r="J65" s="32">
        <f t="shared" si="4"/>
        <v>0</v>
      </c>
    </row>
    <row r="66">
      <c r="A66" s="36" t="s">
        <v>76</v>
      </c>
      <c r="B66" s="47" t="s">
        <v>20</v>
      </c>
      <c r="C66" s="28" t="s">
        <v>78</v>
      </c>
      <c r="D66" s="45">
        <v>1203922.0</v>
      </c>
      <c r="E66" s="30">
        <v>1.2837</v>
      </c>
      <c r="F66" s="30">
        <v>1.28592167931145</v>
      </c>
      <c r="G66" s="30">
        <f t="shared" si="1"/>
        <v>1545474.671</v>
      </c>
      <c r="H66" s="31">
        <f t="shared" si="6"/>
        <v>1548149.4</v>
      </c>
      <c r="I66" s="31">
        <f t="shared" si="3"/>
        <v>2674.7286</v>
      </c>
      <c r="J66" s="32">
        <f t="shared" si="4"/>
        <v>0.001730684203</v>
      </c>
    </row>
    <row r="67">
      <c r="A67" s="36" t="s">
        <v>95</v>
      </c>
      <c r="B67" s="47" t="s">
        <v>20</v>
      </c>
      <c r="C67" s="28" t="s">
        <v>45</v>
      </c>
      <c r="D67" s="45">
        <v>732312.0</v>
      </c>
      <c r="E67" s="30">
        <v>1.363</v>
      </c>
      <c r="F67" s="30"/>
      <c r="G67" s="30">
        <f t="shared" si="1"/>
        <v>998141.256</v>
      </c>
      <c r="H67" s="31">
        <f t="shared" si="6"/>
        <v>0</v>
      </c>
      <c r="I67" s="31">
        <f t="shared" si="3"/>
        <v>0</v>
      </c>
      <c r="J67" s="32">
        <f t="shared" si="4"/>
        <v>0</v>
      </c>
    </row>
    <row r="68">
      <c r="A68" s="36" t="s">
        <v>70</v>
      </c>
      <c r="B68" s="47" t="s">
        <v>20</v>
      </c>
      <c r="C68" s="28" t="s">
        <v>45</v>
      </c>
      <c r="D68" s="45">
        <v>1.0</v>
      </c>
      <c r="E68" s="30">
        <v>18375.0</v>
      </c>
      <c r="F68" s="30"/>
      <c r="G68" s="30">
        <f t="shared" si="1"/>
        <v>18375</v>
      </c>
      <c r="H68" s="31">
        <f t="shared" si="6"/>
        <v>0</v>
      </c>
      <c r="I68" s="31">
        <f t="shared" si="3"/>
        <v>0</v>
      </c>
      <c r="J68" s="32">
        <f t="shared" si="4"/>
        <v>0</v>
      </c>
    </row>
    <row r="69">
      <c r="A69" s="36" t="s">
        <v>46</v>
      </c>
      <c r="B69" s="47" t="s">
        <v>20</v>
      </c>
      <c r="C69" s="28" t="s">
        <v>45</v>
      </c>
      <c r="D69" s="45">
        <v>2.0</v>
      </c>
      <c r="E69" s="30">
        <v>417.0</v>
      </c>
      <c r="F69" s="48"/>
      <c r="G69" s="30">
        <f t="shared" si="1"/>
        <v>834</v>
      </c>
      <c r="H69" s="31">
        <f t="shared" si="6"/>
        <v>0</v>
      </c>
      <c r="I69" s="31">
        <f t="shared" si="3"/>
        <v>0</v>
      </c>
      <c r="J69" s="32">
        <f t="shared" si="4"/>
        <v>0</v>
      </c>
    </row>
    <row r="70">
      <c r="A70" s="36" t="s">
        <v>48</v>
      </c>
      <c r="B70" s="47" t="s">
        <v>20</v>
      </c>
      <c r="C70" s="28" t="s">
        <v>45</v>
      </c>
      <c r="D70" s="45">
        <v>1.0</v>
      </c>
      <c r="E70" s="30">
        <v>141.5</v>
      </c>
      <c r="F70" s="48"/>
      <c r="G70" s="30">
        <f t="shared" si="1"/>
        <v>141.5</v>
      </c>
      <c r="H70" s="31">
        <f t="shared" si="6"/>
        <v>0</v>
      </c>
      <c r="I70" s="31">
        <f t="shared" si="3"/>
        <v>0</v>
      </c>
      <c r="J70" s="32">
        <f t="shared" si="4"/>
        <v>0</v>
      </c>
    </row>
    <row r="71">
      <c r="A71" s="36" t="s">
        <v>88</v>
      </c>
      <c r="B71" s="47" t="s">
        <v>20</v>
      </c>
      <c r="C71" s="28" t="s">
        <v>78</v>
      </c>
      <c r="D71" s="45">
        <v>394448.0</v>
      </c>
      <c r="E71" s="30">
        <v>1.266</v>
      </c>
      <c r="F71" s="36">
        <v>1.3081</v>
      </c>
      <c r="G71" s="30">
        <f t="shared" si="1"/>
        <v>499371.168</v>
      </c>
      <c r="H71" s="31">
        <f t="shared" si="6"/>
        <v>515977.4288</v>
      </c>
      <c r="I71" s="31">
        <f t="shared" si="3"/>
        <v>16606.2608</v>
      </c>
      <c r="J71" s="32">
        <f t="shared" si="4"/>
        <v>0.03325434439</v>
      </c>
    </row>
    <row r="72">
      <c r="A72" s="36" t="s">
        <v>89</v>
      </c>
      <c r="B72" s="47" t="s">
        <v>20</v>
      </c>
      <c r="C72" s="28" t="s">
        <v>45</v>
      </c>
      <c r="D72" s="45">
        <v>381253.0</v>
      </c>
      <c r="E72" s="30">
        <v>1.3508</v>
      </c>
      <c r="F72" s="48"/>
      <c r="G72" s="30">
        <f t="shared" si="1"/>
        <v>514996.5524</v>
      </c>
      <c r="H72" s="31">
        <f t="shared" si="6"/>
        <v>0</v>
      </c>
      <c r="I72" s="31">
        <f t="shared" si="3"/>
        <v>0</v>
      </c>
      <c r="J72" s="32">
        <f t="shared" si="4"/>
        <v>0</v>
      </c>
    </row>
    <row r="73">
      <c r="A73" s="36" t="s">
        <v>89</v>
      </c>
      <c r="B73" s="47" t="s">
        <v>22</v>
      </c>
      <c r="C73" s="28" t="s">
        <v>78</v>
      </c>
      <c r="D73" s="44">
        <v>857590.0</v>
      </c>
      <c r="E73" s="30">
        <v>1.33</v>
      </c>
      <c r="F73" s="30">
        <v>1.37</v>
      </c>
      <c r="G73" s="30">
        <f t="shared" si="1"/>
        <v>1140594.7</v>
      </c>
      <c r="H73" s="31">
        <f t="shared" si="6"/>
        <v>1174898.3</v>
      </c>
      <c r="I73" s="31">
        <f t="shared" si="3"/>
        <v>34303.6</v>
      </c>
      <c r="J73" s="32">
        <f t="shared" si="4"/>
        <v>0.03007518797</v>
      </c>
    </row>
    <row r="74">
      <c r="A74" s="36" t="s">
        <v>96</v>
      </c>
      <c r="B74" s="47" t="s">
        <v>23</v>
      </c>
      <c r="C74" s="28" t="s">
        <v>45</v>
      </c>
      <c r="D74" s="44">
        <v>795920.0</v>
      </c>
      <c r="E74" s="30">
        <v>1.47261</v>
      </c>
      <c r="F74" s="30"/>
      <c r="G74" s="30">
        <f t="shared" si="1"/>
        <v>1172079.751</v>
      </c>
      <c r="H74" s="31">
        <f t="shared" si="6"/>
        <v>0</v>
      </c>
      <c r="I74" s="31">
        <f t="shared" si="3"/>
        <v>0</v>
      </c>
      <c r="J74" s="32">
        <f t="shared" si="4"/>
        <v>0</v>
      </c>
    </row>
    <row r="75">
      <c r="A75" s="36" t="s">
        <v>95</v>
      </c>
      <c r="B75" s="47" t="s">
        <v>24</v>
      </c>
      <c r="C75" s="28" t="s">
        <v>45</v>
      </c>
      <c r="D75" s="45">
        <v>732312.0</v>
      </c>
      <c r="E75" s="30">
        <v>1.363</v>
      </c>
      <c r="F75" s="30">
        <v>1.47</v>
      </c>
      <c r="G75" s="30">
        <f t="shared" si="1"/>
        <v>998141.256</v>
      </c>
      <c r="H75" s="31">
        <f t="shared" si="6"/>
        <v>1076498.64</v>
      </c>
      <c r="I75" s="31">
        <f t="shared" si="3"/>
        <v>78357.384</v>
      </c>
      <c r="J75" s="32">
        <f t="shared" si="4"/>
        <v>0.07850330154</v>
      </c>
    </row>
    <row r="76">
      <c r="A76" s="36" t="s">
        <v>97</v>
      </c>
      <c r="B76" s="47" t="s">
        <v>25</v>
      </c>
      <c r="C76" s="28" t="s">
        <v>45</v>
      </c>
      <c r="D76" s="45">
        <v>697617.0</v>
      </c>
      <c r="E76" s="30">
        <v>1.51</v>
      </c>
      <c r="F76" s="30"/>
      <c r="G76" s="30">
        <f t="shared" si="1"/>
        <v>1053401.67</v>
      </c>
      <c r="H76" s="31">
        <f t="shared" si="6"/>
        <v>0</v>
      </c>
      <c r="I76" s="31">
        <f t="shared" si="3"/>
        <v>0</v>
      </c>
      <c r="J76" s="32">
        <f t="shared" si="4"/>
        <v>0</v>
      </c>
    </row>
    <row r="77">
      <c r="A77" s="36" t="s">
        <v>80</v>
      </c>
      <c r="B77" s="47" t="s">
        <v>25</v>
      </c>
      <c r="C77" s="28" t="s">
        <v>78</v>
      </c>
      <c r="D77" s="45">
        <v>12.0</v>
      </c>
      <c r="E77" s="52">
        <v>1169.9</v>
      </c>
      <c r="F77" s="30">
        <v>797.0</v>
      </c>
      <c r="G77" s="30">
        <f t="shared" si="1"/>
        <v>14038.8</v>
      </c>
      <c r="H77" s="31">
        <f t="shared" si="6"/>
        <v>9564</v>
      </c>
      <c r="I77" s="31">
        <f t="shared" si="3"/>
        <v>0</v>
      </c>
      <c r="J77" s="32">
        <f t="shared" si="4"/>
        <v>0</v>
      </c>
    </row>
    <row r="78">
      <c r="A78" s="36" t="s">
        <v>71</v>
      </c>
      <c r="B78" s="47" t="s">
        <v>25</v>
      </c>
      <c r="C78" s="28" t="s">
        <v>45</v>
      </c>
      <c r="D78" s="45">
        <v>7.0</v>
      </c>
      <c r="E78" s="52">
        <v>1343.0</v>
      </c>
      <c r="F78" s="30"/>
      <c r="G78" s="30">
        <f t="shared" si="1"/>
        <v>9401</v>
      </c>
      <c r="H78" s="31">
        <f t="shared" si="6"/>
        <v>0</v>
      </c>
      <c r="I78" s="31">
        <f t="shared" si="3"/>
        <v>0</v>
      </c>
      <c r="J78" s="32">
        <f t="shared" si="4"/>
        <v>0</v>
      </c>
    </row>
    <row r="79">
      <c r="A79" s="36" t="s">
        <v>96</v>
      </c>
      <c r="B79" s="47" t="s">
        <v>26</v>
      </c>
      <c r="C79" s="28" t="s">
        <v>78</v>
      </c>
      <c r="D79" s="44">
        <v>795920.0</v>
      </c>
      <c r="E79" s="30">
        <v>1.47261</v>
      </c>
      <c r="F79" s="30">
        <v>1.576998945</v>
      </c>
      <c r="G79" s="30">
        <f t="shared" si="1"/>
        <v>1172079.751</v>
      </c>
      <c r="H79" s="31">
        <f t="shared" si="6"/>
        <v>1255165</v>
      </c>
      <c r="I79" s="31">
        <f t="shared" si="3"/>
        <v>83085.2491</v>
      </c>
      <c r="J79" s="32">
        <f t="shared" si="4"/>
        <v>0.07088702712</v>
      </c>
    </row>
    <row r="80">
      <c r="A80" s="36" t="s">
        <v>98</v>
      </c>
      <c r="B80" s="47" t="s">
        <v>26</v>
      </c>
      <c r="C80" s="28" t="s">
        <v>45</v>
      </c>
      <c r="D80" s="28">
        <v>490.0</v>
      </c>
      <c r="E80" s="30">
        <v>285.306122449</v>
      </c>
      <c r="F80" s="48"/>
      <c r="G80" s="30">
        <f t="shared" si="1"/>
        <v>139800</v>
      </c>
      <c r="H80" s="31">
        <f t="shared" si="6"/>
        <v>0</v>
      </c>
      <c r="I80" s="31">
        <f t="shared" si="3"/>
        <v>0</v>
      </c>
      <c r="J80" s="32">
        <f t="shared" si="4"/>
        <v>0</v>
      </c>
    </row>
    <row r="81">
      <c r="A81" s="53" t="s">
        <v>99</v>
      </c>
      <c r="B81" s="47" t="s">
        <v>26</v>
      </c>
      <c r="C81" s="28" t="s">
        <v>45</v>
      </c>
      <c r="D81" s="45">
        <v>40262.0</v>
      </c>
      <c r="E81" s="30">
        <v>1.53</v>
      </c>
      <c r="F81" s="36"/>
      <c r="G81" s="30">
        <f t="shared" si="1"/>
        <v>61600.86</v>
      </c>
      <c r="H81" s="31">
        <f t="shared" si="6"/>
        <v>0</v>
      </c>
      <c r="I81" s="31">
        <f t="shared" si="3"/>
        <v>0</v>
      </c>
      <c r="J81" s="32">
        <f t="shared" si="4"/>
        <v>0</v>
      </c>
    </row>
    <row r="82">
      <c r="A82" s="53" t="s">
        <v>100</v>
      </c>
      <c r="B82" s="47" t="s">
        <v>26</v>
      </c>
      <c r="C82" s="28" t="s">
        <v>45</v>
      </c>
      <c r="D82" s="45">
        <v>462349.0</v>
      </c>
      <c r="E82" s="30">
        <v>1.249</v>
      </c>
      <c r="F82" s="36"/>
      <c r="G82" s="30">
        <f t="shared" si="1"/>
        <v>577473.901</v>
      </c>
      <c r="H82" s="31">
        <f t="shared" si="6"/>
        <v>0</v>
      </c>
      <c r="I82" s="31">
        <f t="shared" si="3"/>
        <v>0</v>
      </c>
      <c r="J82" s="32">
        <f t="shared" si="4"/>
        <v>0</v>
      </c>
    </row>
  </sheetData>
  <autoFilter ref="$A$1:$J$62"/>
  <conditionalFormatting sqref="D73:D74 D79">
    <cfRule type="cellIs" dxfId="2" priority="1" operator="equal">
      <formula>0</formula>
    </cfRule>
  </conditionalFormatting>
  <dataValidations>
    <dataValidation type="list" allowBlank="1" showErrorMessage="1" sqref="B46:B82">
      <formula1>"Enero,Febrero,Marzo,Abril,Mayo,Junio,Julio,Agosto,Septiembre"</formula1>
    </dataValidation>
    <dataValidation type="list" allowBlank="1" showErrorMessage="1" sqref="C2:C82">
      <formula1>"Compra,Venta"</formula1>
    </dataValidation>
    <dataValidation type="list" allowBlank="1" showErrorMessage="1" sqref="B2:B45">
      <formula1>"Enero,Febrero"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6.25"/>
    <col customWidth="1" min="4" max="4" width="13.75"/>
    <col customWidth="1" min="5" max="5" width="20.0"/>
    <col customWidth="1" min="6" max="6" width="20.63"/>
    <col customWidth="1" min="7" max="7" width="18.25"/>
    <col customWidth="1" min="8" max="8" width="14.75"/>
    <col customWidth="1" min="9" max="9" width="15.25"/>
    <col customWidth="1" min="10" max="10" width="16.25"/>
    <col customWidth="1" min="11" max="11" width="13.88"/>
    <col customWidth="1" min="13" max="13" width="14.5"/>
    <col customWidth="1" min="16" max="16" width="14.0"/>
  </cols>
  <sheetData>
    <row r="1">
      <c r="A1" s="54" t="s">
        <v>101</v>
      </c>
      <c r="C1" s="55" t="s">
        <v>40</v>
      </c>
      <c r="D1" s="55" t="s">
        <v>41</v>
      </c>
      <c r="E1" s="55" t="s">
        <v>102</v>
      </c>
      <c r="F1" s="55" t="s">
        <v>103</v>
      </c>
      <c r="G1" s="26" t="s">
        <v>9</v>
      </c>
      <c r="H1" s="55" t="s">
        <v>104</v>
      </c>
      <c r="I1" s="55" t="s">
        <v>105</v>
      </c>
      <c r="M1" s="56" t="s">
        <v>1</v>
      </c>
      <c r="N1" s="9">
        <f>SUMIF(B4:B1001,M1,G4:G1001)</f>
        <v>0</v>
      </c>
    </row>
    <row r="2">
      <c r="C2" s="31">
        <f>SUM(I5:I1001)</f>
        <v>705857.1019</v>
      </c>
      <c r="D2" s="32">
        <f>(F2/E2)-1</f>
        <v>0.07387484038</v>
      </c>
      <c r="E2" s="31">
        <f t="shared" ref="E2:F2" si="1">SUM(G5:G1001)</f>
        <v>9554769.91</v>
      </c>
      <c r="F2" s="57">
        <f t="shared" si="1"/>
        <v>10260627.01</v>
      </c>
      <c r="G2" s="57">
        <f>N9+SUMIF(Transacciones!C2:C1001,"Venta",Transacciones!I2:I1001)</f>
        <v>300653.5607</v>
      </c>
      <c r="H2" s="57">
        <f>E2+G2</f>
        <v>9855423.47</v>
      </c>
      <c r="I2" s="57">
        <f>F2+G2</f>
        <v>10561280.57</v>
      </c>
      <c r="M2" s="58" t="s">
        <v>2</v>
      </c>
      <c r="N2" s="9">
        <f t="shared" ref="N2:N8" si="2">SUMIF($B$5:B1001,M2,$H$5:H1001)</f>
        <v>449236.8</v>
      </c>
    </row>
    <row r="3">
      <c r="J3" s="59"/>
      <c r="M3" s="56" t="s">
        <v>3</v>
      </c>
      <c r="N3" s="9">
        <f t="shared" si="2"/>
        <v>51180</v>
      </c>
    </row>
    <row r="4">
      <c r="A4" s="26" t="s">
        <v>32</v>
      </c>
      <c r="B4" s="26" t="s">
        <v>34</v>
      </c>
      <c r="C4" s="26" t="s">
        <v>106</v>
      </c>
      <c r="D4" s="26" t="s">
        <v>107</v>
      </c>
      <c r="E4" s="26" t="s">
        <v>108</v>
      </c>
      <c r="F4" s="26" t="s">
        <v>109</v>
      </c>
      <c r="G4" s="26" t="s">
        <v>110</v>
      </c>
      <c r="H4" s="26" t="s">
        <v>111</v>
      </c>
      <c r="I4" s="26" t="s">
        <v>40</v>
      </c>
      <c r="J4" s="26" t="s">
        <v>41</v>
      </c>
      <c r="K4" s="26" t="s">
        <v>112</v>
      </c>
      <c r="L4" s="27"/>
      <c r="M4" s="58" t="s">
        <v>4</v>
      </c>
      <c r="N4" s="9">
        <f t="shared" si="2"/>
        <v>835525</v>
      </c>
      <c r="O4" s="27"/>
      <c r="P4" s="26" t="s">
        <v>113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9" t="s">
        <v>44</v>
      </c>
      <c r="B5" s="28" t="s">
        <v>2</v>
      </c>
      <c r="C5" s="44">
        <f>SUMIFS(Transacciones!$D$2:$D1001,Transacciones!$A$2:$A1001,A5,Transacciones!$C$2:$C1001,"Compra")-SUMIFS(Transacciones!$D$2:$D1001,Transacciones!$A$2:$A1001,A5,Transacciones!$C$2:$C1001,"Venta")</f>
        <v>15</v>
      </c>
      <c r="D5" s="32">
        <f t="shared" ref="D5:D43" si="3">(H5/$F$2)</f>
        <v>0.001476517954</v>
      </c>
      <c r="E5" s="30">
        <f>IFERROR((SUMIFS(Transacciones!$G$2:$G1001,Transacciones!$A$2:$A1001,A5,Transacciones!$C$2:$C1001,"Compra")-SUMIFS(Transacciones!$G$2:$G1001,Transacciones!$A$2:$A1001,A5,Transacciones!$C$2:$C1001,"Venta"))/C5,0)</f>
        <v>984</v>
      </c>
      <c r="F5" s="31">
        <f>IFERROR(__xludf.DUMMYFUNCTION("GOOGLEFINANCE(""BCBA:""&amp;A5,""price"")"),1010.0)</f>
        <v>1010</v>
      </c>
      <c r="G5" s="31">
        <f t="shared" ref="G5:G43" si="4">C5*E5</f>
        <v>14760</v>
      </c>
      <c r="H5" s="31">
        <f t="shared" ref="H5:H43" si="5">F5*C5</f>
        <v>15150</v>
      </c>
      <c r="I5" s="31">
        <f t="shared" ref="I5:I43" si="6">H5-G5</f>
        <v>390</v>
      </c>
      <c r="J5" s="32">
        <f t="shared" ref="J5:J43" si="7">IFERROR(I5/G5,0)</f>
        <v>0.02642276423</v>
      </c>
      <c r="K5" s="36" t="s">
        <v>114</v>
      </c>
      <c r="M5" s="56" t="s">
        <v>5</v>
      </c>
      <c r="N5" s="9">
        <f t="shared" si="2"/>
        <v>340811.4</v>
      </c>
      <c r="P5" s="60">
        <f>SUM(I5-Junio!I5)</f>
        <v>4410</v>
      </c>
    </row>
    <row r="6">
      <c r="A6" s="33" t="s">
        <v>46</v>
      </c>
      <c r="B6" s="28" t="s">
        <v>2</v>
      </c>
      <c r="C6" s="44">
        <f>SUMIFS(Transacciones!$D$2:$D1001,Transacciones!$A$2:$A1001,A6,Transacciones!$C$2:$C1001,"Compra")-SUMIFS(Transacciones!$D$2:$D1001,Transacciones!$A$2:$A1001,A6,Transacciones!$C$2:$C1001,"Venta")</f>
        <v>30</v>
      </c>
      <c r="D6" s="32">
        <f t="shared" si="3"/>
        <v>0.0008500942477</v>
      </c>
      <c r="E6" s="30">
        <f>IFERROR((SUMIFS(Transacciones!$G$2:$G1001,Transacciones!$A$2:$A1001,A6,Transacciones!$C$2:$C1001,"Compra")-SUMIFS(Transacciones!$G$2:$G1001,Transacciones!$A$2:$A1001,A6,Transacciones!$C$2:$C1001,"Venta"))/C6,0)</f>
        <v>371.2666667</v>
      </c>
      <c r="F6" s="31">
        <f>IFERROR(__xludf.DUMMYFUNCTION("GOOGLEFINANCE(""BCBA:""&amp;A6,""price"")"),290.75)</f>
        <v>290.75</v>
      </c>
      <c r="G6" s="31">
        <f t="shared" si="4"/>
        <v>11138</v>
      </c>
      <c r="H6" s="31">
        <f t="shared" si="5"/>
        <v>8722.5</v>
      </c>
      <c r="I6" s="31">
        <f t="shared" si="6"/>
        <v>-2415.5</v>
      </c>
      <c r="J6" s="32">
        <f t="shared" si="7"/>
        <v>-0.2168701742</v>
      </c>
      <c r="K6" s="36" t="s">
        <v>114</v>
      </c>
      <c r="M6" s="56" t="s">
        <v>6</v>
      </c>
      <c r="N6" s="9">
        <f t="shared" si="2"/>
        <v>6685655.858</v>
      </c>
      <c r="P6" s="60">
        <f>SUM(I6-Junio!I6)</f>
        <v>2962.5</v>
      </c>
    </row>
    <row r="7">
      <c r="A7" s="33" t="s">
        <v>47</v>
      </c>
      <c r="B7" s="28" t="s">
        <v>2</v>
      </c>
      <c r="C7" s="44">
        <f>SUMIFS(Transacciones!$D$2:$D1001,Transacciones!$A$2:$A1001,A7,Transacciones!$C$2:$C1001,"Compra")-SUMIFS(Transacciones!$D$2:$D1001,Transacciones!$A$2:$A1001,A7,Transacciones!$C$2:$C1001,"Venta")</f>
        <v>20</v>
      </c>
      <c r="D7" s="32">
        <f t="shared" si="3"/>
        <v>0.004366204906</v>
      </c>
      <c r="E7" s="30">
        <f>IFERROR((SUMIFS(Transacciones!$G$2:$G1001,Transacciones!$A$2:$A1001,A7,Transacciones!$C$2:$C1001,"Compra")-SUMIFS(Transacciones!$G$2:$G1001,Transacciones!$A$2:$A1001,A7,Transacciones!$C$2:$C1001,"Venta"))/C7,0)</f>
        <v>1740</v>
      </c>
      <c r="F7" s="31">
        <f>IFERROR(__xludf.DUMMYFUNCTION("GOOGLEFINANCE(""BCBA:""&amp;A7,""price"")"),2240.0)</f>
        <v>2240</v>
      </c>
      <c r="G7" s="31">
        <f t="shared" si="4"/>
        <v>34800</v>
      </c>
      <c r="H7" s="31">
        <f t="shared" si="5"/>
        <v>44800</v>
      </c>
      <c r="I7" s="31">
        <f t="shared" si="6"/>
        <v>10000</v>
      </c>
      <c r="J7" s="32">
        <f t="shared" si="7"/>
        <v>0.2873563218</v>
      </c>
      <c r="K7" s="36" t="s">
        <v>114</v>
      </c>
      <c r="M7" s="61" t="s">
        <v>7</v>
      </c>
      <c r="N7" s="9">
        <f t="shared" si="2"/>
        <v>1866787.954</v>
      </c>
      <c r="P7" s="60">
        <f>SUM(I7-Junio!I7)</f>
        <v>16400</v>
      </c>
    </row>
    <row r="8">
      <c r="A8" s="33" t="s">
        <v>48</v>
      </c>
      <c r="B8" s="28" t="s">
        <v>2</v>
      </c>
      <c r="C8" s="44">
        <f>SUMIFS(Transacciones!$D$2:$D1001,Transacciones!$A$2:$A1001,A8,Transacciones!$C$2:$C1001,"Compra")-SUMIFS(Transacciones!$D$2:$D1001,Transacciones!$A$2:$A1001,A8,Transacciones!$C$2:$C1001,"Venta")</f>
        <v>46</v>
      </c>
      <c r="D8" s="32">
        <f t="shared" si="3"/>
        <v>0.0003308569736</v>
      </c>
      <c r="E8" s="30">
        <f>IFERROR((SUMIFS(Transacciones!$G$2:$G1001,Transacciones!$A$2:$A1001,A8,Transacciones!$C$2:$C1001,"Compra")-SUMIFS(Transacciones!$G$2:$G1001,Transacciones!$A$2:$A1001,A8,Transacciones!$C$2:$C1001,"Venta"))/C8,0)</f>
        <v>232.2336957</v>
      </c>
      <c r="F8" s="31">
        <f>IFERROR(__xludf.DUMMYFUNCTION("GOOGLEFINANCE(""BCBA:""&amp;A8,""price"")"),73.8)</f>
        <v>73.8</v>
      </c>
      <c r="G8" s="31">
        <f t="shared" si="4"/>
        <v>10682.75</v>
      </c>
      <c r="H8" s="31">
        <f t="shared" si="5"/>
        <v>3394.8</v>
      </c>
      <c r="I8" s="31">
        <f t="shared" si="6"/>
        <v>-7287.95</v>
      </c>
      <c r="J8" s="32">
        <f t="shared" si="7"/>
        <v>-0.6822166577</v>
      </c>
      <c r="K8" s="36" t="s">
        <v>114</v>
      </c>
      <c r="M8" s="61" t="s">
        <v>8</v>
      </c>
      <c r="N8" s="9">
        <f t="shared" si="2"/>
        <v>31430</v>
      </c>
      <c r="P8" s="60">
        <f>SUM(I8-Junio!I8)</f>
        <v>-2033.2</v>
      </c>
    </row>
    <row r="9">
      <c r="A9" s="33" t="s">
        <v>49</v>
      </c>
      <c r="B9" s="28" t="s">
        <v>2</v>
      </c>
      <c r="C9" s="44">
        <f>SUMIFS(Transacciones!$D$2:$D1001,Transacciones!$A$2:$A1001,A9,Transacciones!$C$2:$C1001,"Compra")-SUMIFS(Transacciones!$D$2:$D1001,Transacciones!$A$2:$A1001,A9,Transacciones!$C$2:$C1001,"Venta")</f>
        <v>25</v>
      </c>
      <c r="D9" s="32">
        <f t="shared" si="3"/>
        <v>0.003898397238</v>
      </c>
      <c r="E9" s="30">
        <f>IFERROR((SUMIFS(Transacciones!$G$2:$G1001,Transacciones!$A$2:$A1001,A9,Transacciones!$C$2:$C1001,"Compra")-SUMIFS(Transacciones!$G$2:$G1001,Transacciones!$A$2:$A1001,A9,Transacciones!$C$2:$C1001,"Venta"))/C9,0)</f>
        <v>1270.6</v>
      </c>
      <c r="F9" s="31">
        <f>IFERROR(__xludf.DUMMYFUNCTION("GOOGLEFINANCE(""BCBA:""&amp;A9,""price"")"),1600.0)</f>
        <v>1600</v>
      </c>
      <c r="G9" s="31">
        <f t="shared" si="4"/>
        <v>31765</v>
      </c>
      <c r="H9" s="31">
        <f t="shared" si="5"/>
        <v>40000</v>
      </c>
      <c r="I9" s="31">
        <f t="shared" si="6"/>
        <v>8235</v>
      </c>
      <c r="J9" s="32">
        <f t="shared" si="7"/>
        <v>0.2592475996</v>
      </c>
      <c r="K9" s="36" t="s">
        <v>114</v>
      </c>
      <c r="M9" s="62" t="s">
        <v>9</v>
      </c>
      <c r="N9" s="63">
        <v>107420.0</v>
      </c>
      <c r="P9" s="60">
        <f>SUM(I9-Junio!I9)</f>
        <v>1875</v>
      </c>
    </row>
    <row r="10">
      <c r="A10" s="33" t="s">
        <v>50</v>
      </c>
      <c r="B10" s="28" t="s">
        <v>2</v>
      </c>
      <c r="C10" s="44">
        <f>SUMIFS(Transacciones!$D$2:$D1001,Transacciones!$A$2:$A1001,A10,Transacciones!$C$2:$C1001,"Compra")-SUMIFS(Transacciones!$D$2:$D1001,Transacciones!$A$2:$A1001,A10,Transacciones!$C$2:$C1001,"Venta")</f>
        <v>100</v>
      </c>
      <c r="D10" s="32">
        <f t="shared" si="3"/>
        <v>0.0004726806651</v>
      </c>
      <c r="E10" s="30">
        <f>IFERROR((SUMIFS(Transacciones!$G$2:$G1001,Transacciones!$A$2:$A1001,A10,Transacciones!$C$2:$C1001,"Compra")-SUMIFS(Transacciones!$G$2:$G1001,Transacciones!$A$2:$A1001,A10,Transacciones!$C$2:$C1001,"Venta"))/C10,0)</f>
        <v>394</v>
      </c>
      <c r="F10" s="31">
        <f>IFERROR(__xludf.DUMMYFUNCTION("GOOGLEFINANCE(""BCBA:""&amp;A10,""price"")"),48.5)</f>
        <v>48.5</v>
      </c>
      <c r="G10" s="31">
        <f t="shared" si="4"/>
        <v>39400</v>
      </c>
      <c r="H10" s="31">
        <f t="shared" si="5"/>
        <v>4850</v>
      </c>
      <c r="I10" s="31">
        <f t="shared" si="6"/>
        <v>-34550</v>
      </c>
      <c r="J10" s="32">
        <f t="shared" si="7"/>
        <v>-0.8769035533</v>
      </c>
      <c r="K10" s="36" t="s">
        <v>114</v>
      </c>
      <c r="M10" s="64" t="s">
        <v>10</v>
      </c>
      <c r="N10" s="65">
        <f>SUM(N1:N9)</f>
        <v>10368047.01</v>
      </c>
    </row>
    <row r="11">
      <c r="A11" s="33" t="s">
        <v>51</v>
      </c>
      <c r="B11" s="28" t="s">
        <v>2</v>
      </c>
      <c r="C11" s="44">
        <f>SUMIFS(Transacciones!$D$2:$D1001,Transacciones!$A$2:$A1001,A11,Transacciones!$C$2:$C1001,"Compra")-SUMIFS(Transacciones!$D$2:$D1001,Transacciones!$A$2:$A1001,A11,Transacciones!$C$2:$C1001,"Venta")</f>
        <v>20</v>
      </c>
      <c r="D11" s="32">
        <f t="shared" si="3"/>
        <v>0.01051592655</v>
      </c>
      <c r="E11" s="30">
        <f>IFERROR((SUMIFS(Transacciones!$G$2:$G1001,Transacciones!$A$2:$A1001,A11,Transacciones!$C$2:$C1001,"Compra")-SUMIFS(Transacciones!$G$2:$G1001,Transacciones!$A$2:$A1001,A11,Transacciones!$C$2:$C1001,"Venta"))/C11,0)</f>
        <v>4200</v>
      </c>
      <c r="F11" s="31">
        <f>IFERROR(__xludf.DUMMYFUNCTION("GOOGLEFINANCE(""BCBA:""&amp;A11,""price"")"),5395.0)</f>
        <v>5395</v>
      </c>
      <c r="G11" s="31">
        <f t="shared" si="4"/>
        <v>84000</v>
      </c>
      <c r="H11" s="31">
        <f t="shared" si="5"/>
        <v>107900</v>
      </c>
      <c r="I11" s="31">
        <f t="shared" si="6"/>
        <v>23900</v>
      </c>
      <c r="J11" s="32">
        <f t="shared" si="7"/>
        <v>0.2845238095</v>
      </c>
      <c r="K11" s="36" t="s">
        <v>114</v>
      </c>
    </row>
    <row r="12">
      <c r="A12" s="33" t="s">
        <v>52</v>
      </c>
      <c r="B12" s="28" t="s">
        <v>2</v>
      </c>
      <c r="C12" s="44">
        <f>SUMIFS(Transacciones!$D$2:$D1001,Transacciones!$A$2:$A1001,A12,Transacciones!$C$2:$C1001,"Compra")-SUMIFS(Transacciones!$D$2:$D1001,Transacciones!$A$2:$A1001,A12,Transacciones!$C$2:$C1001,"Venta")</f>
        <v>7660</v>
      </c>
      <c r="D12" s="32">
        <f t="shared" si="3"/>
        <v>0.02008200861</v>
      </c>
      <c r="E12" s="30">
        <f>IFERROR((SUMIFS(Transacciones!$G$2:$G1001,Transacciones!$A$2:$A1001,A12,Transacciones!$C$2:$C1001,"Compra")-SUMIFS(Transacciones!$G$2:$G1001,Transacciones!$A$2:$A1001,A12,Transacciones!$C$2:$C1001,"Venta"))/C12,0)</f>
        <v>40</v>
      </c>
      <c r="F12" s="31">
        <f>IFERROR(__xludf.DUMMYFUNCTION("GOOGLEFINANCE(""BCBA:""&amp;A12,""price"")"),26.9)</f>
        <v>26.9</v>
      </c>
      <c r="G12" s="31">
        <f t="shared" si="4"/>
        <v>306400</v>
      </c>
      <c r="H12" s="31">
        <f t="shared" si="5"/>
        <v>206054</v>
      </c>
      <c r="I12" s="31">
        <f t="shared" si="6"/>
        <v>-100346</v>
      </c>
      <c r="J12" s="32">
        <f t="shared" si="7"/>
        <v>-0.3275</v>
      </c>
      <c r="K12" s="36" t="s">
        <v>114</v>
      </c>
      <c r="M12" s="61" t="s">
        <v>114</v>
      </c>
      <c r="N12" s="9">
        <f t="shared" ref="N12:N15" si="8">SUMIF($K$5:$K1001,M12,$H$5:$H1001)</f>
        <v>1365009.8</v>
      </c>
    </row>
    <row r="13">
      <c r="A13" s="38" t="s">
        <v>54</v>
      </c>
      <c r="B13" s="28" t="s">
        <v>2</v>
      </c>
      <c r="C13" s="44">
        <f>SUMIFS(Transacciones!$D$2:$D1001,Transacciones!$A$2:$A1001,A13,Transacciones!$C$2:$C1001,"Compra")-SUMIFS(Transacciones!$D$2:$D1001,Transacciones!$A$2:$A1001,A13,Transacciones!$C$2:$C1001,"Venta")</f>
        <v>23</v>
      </c>
      <c r="D13" s="32">
        <f t="shared" si="3"/>
        <v>0.001789900362</v>
      </c>
      <c r="E13" s="30">
        <f>IFERROR((SUMIFS(Transacciones!$G$2:$G1001,Transacciones!$A$2:$A1001,A13,Transacciones!$C$2:$C1001,"Compra")-SUMIFS(Transacciones!$G$2:$G1001,Transacciones!$A$2:$A1001,A13,Transacciones!$C$2:$C1001,"Venta"))/C13,0)</f>
        <v>963</v>
      </c>
      <c r="F13" s="31">
        <f>IFERROR(__xludf.DUMMYFUNCTION("GOOGLEFINANCE(""BCBA:""&amp;A13,""price"")"),798.5)</f>
        <v>798.5</v>
      </c>
      <c r="G13" s="31">
        <f t="shared" si="4"/>
        <v>22149</v>
      </c>
      <c r="H13" s="31">
        <f t="shared" si="5"/>
        <v>18365.5</v>
      </c>
      <c r="I13" s="31">
        <f t="shared" si="6"/>
        <v>-3783.5</v>
      </c>
      <c r="J13" s="32">
        <f t="shared" si="7"/>
        <v>-0.1708203531</v>
      </c>
      <c r="K13" s="36" t="s">
        <v>114</v>
      </c>
      <c r="M13" s="61" t="s">
        <v>115</v>
      </c>
      <c r="N13" s="9">
        <f t="shared" si="8"/>
        <v>5729735.098</v>
      </c>
    </row>
    <row r="14">
      <c r="A14" s="38" t="s">
        <v>58</v>
      </c>
      <c r="B14" s="28" t="s">
        <v>4</v>
      </c>
      <c r="C14" s="44">
        <f>SUMIFS(Transacciones!$D$2:$D1001,Transacciones!$A$2:$A1001,A14,Transacciones!$C$2:$C1001,"Compra")-SUMIFS(Transacciones!$D$2:$D1001,Transacciones!$A$2:$A1001,A14,Transacciones!$C$2:$C1001,"Venta")</f>
        <v>45</v>
      </c>
      <c r="D14" s="32">
        <f t="shared" si="3"/>
        <v>0.01078004296</v>
      </c>
      <c r="E14" s="30">
        <f>IFERROR((SUMIFS(Transacciones!$G$2:$G1001,Transacciones!$A$2:$A1001,A14,Transacciones!$C$2:$C1001,"Compra")-SUMIFS(Transacciones!$G$2:$G1001,Transacciones!$A$2:$A1001,A14,Transacciones!$C$2:$C1001,"Venta"))/C14,0)</f>
        <v>1895</v>
      </c>
      <c r="F14" s="31">
        <f>IFERROR(__xludf.DUMMYFUNCTION("GOOGLEFINANCE(""BCBA:""&amp;A14,""price"")"),2458.0)</f>
        <v>2458</v>
      </c>
      <c r="G14" s="31">
        <f t="shared" si="4"/>
        <v>85275</v>
      </c>
      <c r="H14" s="31">
        <f t="shared" si="5"/>
        <v>110610</v>
      </c>
      <c r="I14" s="31">
        <f t="shared" si="6"/>
        <v>25335</v>
      </c>
      <c r="J14" s="32">
        <f t="shared" si="7"/>
        <v>0.2970976253</v>
      </c>
      <c r="K14" s="36" t="s">
        <v>114</v>
      </c>
      <c r="M14" s="61" t="s">
        <v>116</v>
      </c>
      <c r="N14" s="9">
        <f t="shared" si="8"/>
        <v>31430</v>
      </c>
    </row>
    <row r="15">
      <c r="A15" s="35" t="s">
        <v>59</v>
      </c>
      <c r="B15" s="28" t="s">
        <v>4</v>
      </c>
      <c r="C15" s="44">
        <f>SUMIFS(Transacciones!$D$2:$D1001,Transacciones!$A$2:$A1001,A15,Transacciones!$C$2:$C1001,"Compra")-SUMIFS(Transacciones!$D$2:$D1001,Transacciones!$A$2:$A1001,A15,Transacciones!$C$2:$C1001,"Venta")</f>
        <v>1</v>
      </c>
      <c r="D15" s="32">
        <f t="shared" si="3"/>
        <v>0.002633367334</v>
      </c>
      <c r="E15" s="30">
        <f>IFERROR((SUMIFS(Transacciones!$G$2:$G1001,Transacciones!$A$2:$A1001,A15,Transacciones!$C$2:$C1001,"Compra")-SUMIFS(Transacciones!$G$2:$G1001,Transacciones!$A$2:$A1001,A15,Transacciones!$C$2:$C1001,"Venta"))/C15,0)</f>
        <v>11400</v>
      </c>
      <c r="F15" s="31">
        <f>IFERROR(__xludf.DUMMYFUNCTION("GOOGLEFINANCE(""BCBA:""&amp;A15,""price"")"),27020.0)</f>
        <v>27020</v>
      </c>
      <c r="G15" s="31">
        <f t="shared" si="4"/>
        <v>11400</v>
      </c>
      <c r="H15" s="31">
        <f t="shared" si="5"/>
        <v>27020</v>
      </c>
      <c r="I15" s="31">
        <f t="shared" si="6"/>
        <v>15620</v>
      </c>
      <c r="J15" s="32">
        <f t="shared" si="7"/>
        <v>1.370175439</v>
      </c>
      <c r="K15" s="36" t="s">
        <v>114</v>
      </c>
      <c r="M15" s="61" t="s">
        <v>117</v>
      </c>
      <c r="N15" s="9">
        <f t="shared" si="8"/>
        <v>3134452.114</v>
      </c>
    </row>
    <row r="16">
      <c r="A16" s="35" t="s">
        <v>60</v>
      </c>
      <c r="B16" s="28" t="s">
        <v>4</v>
      </c>
      <c r="C16" s="44">
        <f>SUMIFS(Transacciones!$D$2:$D1001,Transacciones!$A$2:$A1001,A16,Transacciones!$C$2:$C1001,"Compra")-SUMIFS(Transacciones!$D$2:$D1001,Transacciones!$A$2:$A1001,A16,Transacciones!$C$2:$C1001,"Venta")</f>
        <v>5</v>
      </c>
      <c r="D16" s="32">
        <f t="shared" si="3"/>
        <v>0.01003349989</v>
      </c>
      <c r="E16" s="30">
        <f>IFERROR((SUMIFS(Transacciones!$G$2:$G1001,Transacciones!$A$2:$A1001,A16,Transacciones!$C$2:$C1001,"Compra")-SUMIFS(Transacciones!$G$2:$G1001,Transacciones!$A$2:$A1001,A16,Transacciones!$C$2:$C1001,"Venta"))/C16,0)</f>
        <v>7400</v>
      </c>
      <c r="F16" s="30">
        <v>20590.0</v>
      </c>
      <c r="G16" s="31">
        <f t="shared" si="4"/>
        <v>37000</v>
      </c>
      <c r="H16" s="31">
        <f t="shared" si="5"/>
        <v>102950</v>
      </c>
      <c r="I16" s="31">
        <f t="shared" si="6"/>
        <v>65950</v>
      </c>
      <c r="J16" s="32">
        <f t="shared" si="7"/>
        <v>1.782432432</v>
      </c>
      <c r="K16" s="36" t="s">
        <v>114</v>
      </c>
      <c r="M16" s="64" t="s">
        <v>9</v>
      </c>
      <c r="N16" s="63">
        <v>107420.0</v>
      </c>
    </row>
    <row r="17">
      <c r="A17" s="35" t="s">
        <v>61</v>
      </c>
      <c r="B17" s="28" t="s">
        <v>4</v>
      </c>
      <c r="C17" s="44">
        <v>5.0</v>
      </c>
      <c r="D17" s="32">
        <f t="shared" si="3"/>
        <v>0.004536759785</v>
      </c>
      <c r="E17" s="30">
        <f>IFERROR((SUMIFS(Transacciones!$G$2:$G1001,Transacciones!$A$2:$A1001,A17,Transacciones!$C$2:$C1001,"Compra")-SUMIFS(Transacciones!$G$2:$G1001,Transacciones!$A$2:$A1001,A17,Transacciones!$C$2:$C1001,"Venta"))/C17,0)</f>
        <v>5970</v>
      </c>
      <c r="F17" s="30">
        <v>9310.0</v>
      </c>
      <c r="G17" s="31">
        <f t="shared" si="4"/>
        <v>29850</v>
      </c>
      <c r="H17" s="31">
        <f t="shared" si="5"/>
        <v>46550</v>
      </c>
      <c r="I17" s="31">
        <f t="shared" si="6"/>
        <v>16700</v>
      </c>
      <c r="J17" s="32">
        <f t="shared" si="7"/>
        <v>0.5594639866</v>
      </c>
      <c r="K17" s="36" t="s">
        <v>114</v>
      </c>
      <c r="M17" s="64" t="s">
        <v>10</v>
      </c>
      <c r="N17" s="65">
        <f>SUM(N12:N16)</f>
        <v>10368047.01</v>
      </c>
    </row>
    <row r="18">
      <c r="A18" s="38" t="s">
        <v>62</v>
      </c>
      <c r="B18" s="28" t="s">
        <v>4</v>
      </c>
      <c r="C18" s="44">
        <f>SUMIFS(Transacciones!$D$2:$D1001,Transacciones!$A$2:$A1001,A18,Transacciones!$C$2:$C1001,"Compra")-SUMIFS(Transacciones!$D$2:$D1001,Transacciones!$A$2:$A1001,A18,Transacciones!$C$2:$C1001,"Venta")</f>
        <v>25</v>
      </c>
      <c r="D18" s="32">
        <f t="shared" si="3"/>
        <v>0.02051531546</v>
      </c>
      <c r="E18" s="30">
        <f>IFERROR((SUMIFS(Transacciones!$G$2:$G1001,Transacciones!$A$2:$A1001,A18,Transacciones!$C$2:$C1001,"Compra")-SUMIFS(Transacciones!$G$2:$G1001,Transacciones!$A$2:$A1001,A18,Transacciones!$C$2:$C1001,"Venta"))/C18,0)</f>
        <v>3995</v>
      </c>
      <c r="F18" s="31">
        <f>IFERROR(__xludf.DUMMYFUNCTION("GOOGLEFINANCE(""BCBA:""&amp;A18,""price"")"),8420.0)</f>
        <v>8420</v>
      </c>
      <c r="G18" s="31">
        <f t="shared" si="4"/>
        <v>99875</v>
      </c>
      <c r="H18" s="31">
        <f t="shared" si="5"/>
        <v>210500</v>
      </c>
      <c r="I18" s="31">
        <f t="shared" si="6"/>
        <v>110625</v>
      </c>
      <c r="J18" s="32">
        <f t="shared" si="7"/>
        <v>1.107634543</v>
      </c>
      <c r="K18" s="36" t="s">
        <v>114</v>
      </c>
    </row>
    <row r="19">
      <c r="A19" s="37" t="s">
        <v>63</v>
      </c>
      <c r="B19" s="28" t="s">
        <v>4</v>
      </c>
      <c r="C19" s="44">
        <f>SUMIFS(Transacciones!$D$2:$D1001,Transacciones!$A$2:$A1001,A19,Transacciones!$C$2:$C1001,"Compra")-SUMIFS(Transacciones!$D$2:$D1001,Transacciones!$A$2:$A1001,A19,Transacciones!$C$2:$C1001,"Venta")</f>
        <v>1</v>
      </c>
      <c r="D19" s="32">
        <f t="shared" si="3"/>
        <v>0.003023207058</v>
      </c>
      <c r="E19" s="30">
        <f>IFERROR((SUMIFS(Transacciones!$G$2:$G1001,Transacciones!$A$2:$A1001,A19,Transacciones!$C$2:$C1001,"Compra")-SUMIFS(Transacciones!$G$2:$G1001,Transacciones!$A$2:$A1001,A19,Transacciones!$C$2:$C1001,"Venta"))/C19,0)</f>
        <v>17850</v>
      </c>
      <c r="F19" s="31">
        <f>IFERROR(__xludf.DUMMYFUNCTION("GOOGLEFINANCE(""BCBA:""&amp;A19,""price"")"),31020.0)</f>
        <v>31020</v>
      </c>
      <c r="G19" s="31">
        <f t="shared" si="4"/>
        <v>17850</v>
      </c>
      <c r="H19" s="31">
        <f t="shared" si="5"/>
        <v>31020</v>
      </c>
      <c r="I19" s="31">
        <f t="shared" si="6"/>
        <v>13170</v>
      </c>
      <c r="J19" s="32">
        <f t="shared" si="7"/>
        <v>0.7378151261</v>
      </c>
      <c r="K19" s="36" t="s">
        <v>114</v>
      </c>
    </row>
    <row r="20">
      <c r="A20" s="39" t="s">
        <v>64</v>
      </c>
      <c r="B20" s="28" t="s">
        <v>4</v>
      </c>
      <c r="C20" s="44">
        <f>SUMIFS(Transacciones!$D$2:$D1001,Transacciones!$A$2:$A1001,A20,Transacciones!$C$2:$C1001,"Compra")-SUMIFS(Transacciones!$D$2:$D1001,Transacciones!$A$2:$A1001,A20,Transacciones!$C$2:$C1001,"Venta")</f>
        <v>1</v>
      </c>
      <c r="D20" s="32">
        <f t="shared" si="3"/>
        <v>0.002167508864</v>
      </c>
      <c r="E20" s="30">
        <f>IFERROR((SUMIFS(Transacciones!$G$2:$G1001,Transacciones!$A$2:$A1001,A20,Transacciones!$C$2:$C1001,"Compra")-SUMIFS(Transacciones!$G$2:$G1001,Transacciones!$A$2:$A1001,A20,Transacciones!$C$2:$C1001,"Venta"))/C20,0)</f>
        <v>15000</v>
      </c>
      <c r="F20" s="31">
        <f>IFERROR(__xludf.DUMMYFUNCTION("GOOGLEFINANCE(""BCBA:""&amp;A20,""price"")"),22240.0)</f>
        <v>22240</v>
      </c>
      <c r="G20" s="31">
        <f t="shared" si="4"/>
        <v>15000</v>
      </c>
      <c r="H20" s="31">
        <f t="shared" si="5"/>
        <v>22240</v>
      </c>
      <c r="I20" s="31">
        <f t="shared" si="6"/>
        <v>7240</v>
      </c>
      <c r="J20" s="32">
        <f t="shared" si="7"/>
        <v>0.4826666667</v>
      </c>
      <c r="K20" s="36" t="s">
        <v>114</v>
      </c>
    </row>
    <row r="21">
      <c r="A21" s="37" t="s">
        <v>65</v>
      </c>
      <c r="B21" s="28" t="s">
        <v>4</v>
      </c>
      <c r="C21" s="44">
        <f>SUMIFS(Transacciones!$D$2:$D1001,Transacciones!$A$2:$A1001,A21,Transacciones!$C$2:$C1001,"Compra")-SUMIFS(Transacciones!$D$2:$D1001,Transacciones!$A$2:$A1001,A21,Transacciones!$C$2:$C1001,"Venta")</f>
        <v>9</v>
      </c>
      <c r="D21" s="32">
        <f t="shared" si="3"/>
        <v>0.00698641515</v>
      </c>
      <c r="E21" s="30">
        <f>IFERROR((SUMIFS(Transacciones!$G$2:$G1001,Transacciones!$A$2:$A1001,A21,Transacciones!$C$2:$C1001,"Compra")-SUMIFS(Transacciones!$G$2:$G1001,Transacciones!$A$2:$A1001,A21,Transacciones!$C$2:$C1001,"Venta"))/C21,0)</f>
        <v>3655</v>
      </c>
      <c r="F21" s="31">
        <f>IFERROR(__xludf.DUMMYFUNCTION("GOOGLEFINANCE(""BCBA:""&amp;A21,""price"")"),7965.0)</f>
        <v>7965</v>
      </c>
      <c r="G21" s="31">
        <f t="shared" si="4"/>
        <v>32895</v>
      </c>
      <c r="H21" s="31">
        <f t="shared" si="5"/>
        <v>71685</v>
      </c>
      <c r="I21" s="31">
        <f t="shared" si="6"/>
        <v>38790</v>
      </c>
      <c r="J21" s="32">
        <f t="shared" si="7"/>
        <v>1.179206566</v>
      </c>
      <c r="K21" s="36" t="s">
        <v>114</v>
      </c>
    </row>
    <row r="22">
      <c r="A22" s="39" t="s">
        <v>66</v>
      </c>
      <c r="B22" s="28" t="s">
        <v>4</v>
      </c>
      <c r="C22" s="44">
        <f>SUMIFS(Transacciones!$D$2:$D1001,Transacciones!$A$2:$A1001,A22,Transacciones!$C$2:$C1001,"Compra")-SUMIFS(Transacciones!$D$2:$D1001,Transacciones!$A$2:$A1001,A22,Transacciones!$C$2:$C1001,"Venta")</f>
        <v>1</v>
      </c>
      <c r="D22" s="32">
        <f t="shared" si="3"/>
        <v>0.002419930085</v>
      </c>
      <c r="E22" s="30">
        <f>IFERROR((SUMIFS(Transacciones!$G$2:$G1001,Transacciones!$A$2:$A1001,A22,Transacciones!$C$2:$C1001,"Compra")-SUMIFS(Transacciones!$G$2:$G1001,Transacciones!$A$2:$A1001,A22,Transacciones!$C$2:$C1001,"Venta"))/C22,0)</f>
        <v>17775</v>
      </c>
      <c r="F22" s="31">
        <f>IFERROR(__xludf.DUMMYFUNCTION("GOOGLEFINANCE(""BCBA:""&amp;A22,""price"")"),24830.0)</f>
        <v>24830</v>
      </c>
      <c r="G22" s="31">
        <f t="shared" si="4"/>
        <v>17775</v>
      </c>
      <c r="H22" s="31">
        <f t="shared" si="5"/>
        <v>24830</v>
      </c>
      <c r="I22" s="31">
        <f t="shared" si="6"/>
        <v>7055</v>
      </c>
      <c r="J22" s="32">
        <f t="shared" si="7"/>
        <v>0.3969057665</v>
      </c>
      <c r="K22" s="36" t="s">
        <v>114</v>
      </c>
    </row>
    <row r="23">
      <c r="A23" s="35" t="s">
        <v>67</v>
      </c>
      <c r="B23" s="28" t="s">
        <v>4</v>
      </c>
      <c r="C23" s="44">
        <f>SUMIFS(Transacciones!$D$2:$D1001,Transacciones!$A$2:$A1001,A23,Transacciones!$C$2:$C1001,"Compra")-SUMIFS(Transacciones!$D$2:$D1001,Transacciones!$A$2:$A1001,A23,Transacciones!$C$2:$C1001,"Venta")</f>
        <v>1</v>
      </c>
      <c r="D23" s="32">
        <f t="shared" si="3"/>
        <v>0.0009580311212</v>
      </c>
      <c r="E23" s="30">
        <f>IFERROR((SUMIFS(Transacciones!$G$2:$G1001,Transacciones!$A$2:$A1001,A23,Transacciones!$C$2:$C1001,"Compra")-SUMIFS(Transacciones!$G$2:$G1001,Transacciones!$A$2:$A1001,A23,Transacciones!$C$2:$C1001,"Venta"))/C23,0)</f>
        <v>7790</v>
      </c>
      <c r="F23" s="31">
        <f>IFERROR(__xludf.DUMMYFUNCTION("GOOGLEFINANCE(""BCBA:""&amp;A23,""price"")"),9830.0)</f>
        <v>9830</v>
      </c>
      <c r="G23" s="31">
        <f t="shared" si="4"/>
        <v>7790</v>
      </c>
      <c r="H23" s="31">
        <f t="shared" si="5"/>
        <v>9830</v>
      </c>
      <c r="I23" s="31">
        <f t="shared" si="6"/>
        <v>2040</v>
      </c>
      <c r="J23" s="32">
        <f t="shared" si="7"/>
        <v>0.2618741977</v>
      </c>
      <c r="K23" s="36" t="s">
        <v>114</v>
      </c>
    </row>
    <row r="24">
      <c r="A24" s="38" t="s">
        <v>68</v>
      </c>
      <c r="B24" s="28" t="s">
        <v>4</v>
      </c>
      <c r="C24" s="44">
        <f>SUMIFS(Transacciones!$D$2:$D1001,Transacciones!$A$2:$A1001,A24,Transacciones!$C$2:$C1001,"Compra")-SUMIFS(Transacciones!$D$2:$D1001,Transacciones!$A$2:$A1001,A24,Transacciones!$C$2:$C1001,"Venta")</f>
        <v>2</v>
      </c>
      <c r="D24" s="32">
        <f t="shared" si="3"/>
        <v>0.01014557881</v>
      </c>
      <c r="E24" s="30">
        <f>IFERROR((SUMIFS(Transacciones!$G$2:$G1001,Transacciones!$A$2:$A1001,A24,Transacciones!$C$2:$C1001,"Compra")-SUMIFS(Transacciones!$G$2:$G1001,Transacciones!$A$2:$A1001,A24,Transacciones!$C$2:$C1001,"Venta"))/C24,0)</f>
        <v>35825</v>
      </c>
      <c r="F24" s="31">
        <f>IFERROR(__xludf.DUMMYFUNCTION("GOOGLEFINANCE(""BCBA:""&amp;A24,""price"")"),52050.0)</f>
        <v>52050</v>
      </c>
      <c r="G24" s="31">
        <f t="shared" si="4"/>
        <v>71650</v>
      </c>
      <c r="H24" s="31">
        <f t="shared" si="5"/>
        <v>104100</v>
      </c>
      <c r="I24" s="31">
        <f t="shared" si="6"/>
        <v>32450</v>
      </c>
      <c r="J24" s="32">
        <f t="shared" si="7"/>
        <v>0.4528960223</v>
      </c>
      <c r="K24" s="36" t="s">
        <v>114</v>
      </c>
    </row>
    <row r="25">
      <c r="A25" s="35" t="s">
        <v>70</v>
      </c>
      <c r="B25" s="28" t="s">
        <v>4</v>
      </c>
      <c r="C25" s="44">
        <f>SUMIFS(Transacciones!$D$2:$D1001,Transacciones!$A$2:$A1001,A25,Transacciones!$C$2:$C1001,"Compra")-SUMIFS(Transacciones!$D$2:$D1001,Transacciones!$A$2:$A1001,A25,Transacciones!$C$2:$C1001,"Venta")</f>
        <v>3</v>
      </c>
      <c r="D25" s="32">
        <f t="shared" si="3"/>
        <v>0.007230552277</v>
      </c>
      <c r="E25" s="30">
        <f>IFERROR((SUMIFS(Transacciones!$G$2:$G1001,Transacciones!$A$2:$A1001,A25,Transacciones!$C$2:$C1001,"Compra")-SUMIFS(Transacciones!$G$2:$G1001,Transacciones!$A$2:$A1001,A25,Transacciones!$C$2:$C1001,"Venta"))/C25,0)</f>
        <v>21041.66667</v>
      </c>
      <c r="F25" s="31">
        <f>IFERROR(__xludf.DUMMYFUNCTION("GOOGLEFINANCE(""BCBA:""&amp;A25,""price"")"),24730.0)</f>
        <v>24730</v>
      </c>
      <c r="G25" s="31">
        <f t="shared" si="4"/>
        <v>63125</v>
      </c>
      <c r="H25" s="31">
        <f t="shared" si="5"/>
        <v>74190</v>
      </c>
      <c r="I25" s="31">
        <f t="shared" si="6"/>
        <v>11065</v>
      </c>
      <c r="J25" s="32">
        <f t="shared" si="7"/>
        <v>0.1752871287</v>
      </c>
      <c r="K25" s="36" t="s">
        <v>114</v>
      </c>
    </row>
    <row r="26">
      <c r="A26" s="36" t="s">
        <v>55</v>
      </c>
      <c r="B26" s="28" t="s">
        <v>3</v>
      </c>
      <c r="C26" s="44">
        <f>SUMIFS(Transacciones!$D$2:$D1001,Transacciones!$A$2:$A1001,A26,Transacciones!$C$2:$C1001,"Compra")-SUMIFS(Transacciones!$D$2:$D1001,Transacciones!$A$2:$A1001,A26,Transacciones!$C$2:$C1001,"Venta")</f>
        <v>60</v>
      </c>
      <c r="D26" s="32">
        <f t="shared" si="3"/>
        <v>0.004987999266</v>
      </c>
      <c r="E26" s="30">
        <f>IFERROR((SUMIFS(Transacciones!$G$2:$G1001,Transacciones!$A$2:$A1001,A26,Transacciones!$C$2:$C1001,"Compra")-SUMIFS(Transacciones!$G$2:$G1001,Transacciones!$A$2:$A1001,A26,Transacciones!$C$2:$C1001,"Venta"))/C26,0)</f>
        <v>740</v>
      </c>
      <c r="F26" s="30">
        <v>853.0</v>
      </c>
      <c r="G26" s="31">
        <f t="shared" si="4"/>
        <v>44400</v>
      </c>
      <c r="H26" s="31">
        <f t="shared" si="5"/>
        <v>51180</v>
      </c>
      <c r="I26" s="31">
        <f t="shared" si="6"/>
        <v>6780</v>
      </c>
      <c r="J26" s="32">
        <f t="shared" si="7"/>
        <v>0.1527027027</v>
      </c>
      <c r="K26" s="36" t="s">
        <v>114</v>
      </c>
    </row>
    <row r="27">
      <c r="A27" s="36" t="s">
        <v>71</v>
      </c>
      <c r="B27" s="28" t="s">
        <v>5</v>
      </c>
      <c r="C27" s="44">
        <f>SUMIFS(Transacciones!$D$2:$D1001,Transacciones!$A$2:$A1001,A27,Transacciones!$C$2:$C1001,"Compra")-SUMIFS(Transacciones!$D$2:$D1001,Transacciones!$A$2:$A1001,A27,Transacciones!$C$2:$C1001,"Venta")</f>
        <v>26</v>
      </c>
      <c r="D27" s="32">
        <f t="shared" si="3"/>
        <v>0.002832965273</v>
      </c>
      <c r="E27" s="30">
        <f>IFERROR((SUMIFS(Transacciones!$G$2:$G1001,Transacciones!$A$2:$A1001,A27,Transacciones!$C$2:$C1001,"Compra")-SUMIFS(Transacciones!$G$2:$G1001,Transacciones!$A$2:$A1001,A27,Transacciones!$C$2:$C1001,"Venta"))/C27,0)</f>
        <v>1220.961538</v>
      </c>
      <c r="F27" s="30">
        <v>1118.0</v>
      </c>
      <c r="G27" s="31">
        <f t="shared" si="4"/>
        <v>31745</v>
      </c>
      <c r="H27" s="31">
        <f t="shared" si="5"/>
        <v>29068</v>
      </c>
      <c r="I27" s="31">
        <f t="shared" si="6"/>
        <v>-2677</v>
      </c>
      <c r="J27" s="32">
        <f t="shared" si="7"/>
        <v>-0.08432824067</v>
      </c>
      <c r="K27" s="36" t="s">
        <v>114</v>
      </c>
    </row>
    <row r="28">
      <c r="A28" s="41" t="s">
        <v>94</v>
      </c>
      <c r="B28" s="28" t="s">
        <v>5</v>
      </c>
      <c r="C28" s="44">
        <v>98.0</v>
      </c>
      <c r="D28" s="32">
        <f t="shared" si="3"/>
        <v>0.008598831231</v>
      </c>
      <c r="E28" s="30">
        <f>IFERROR((SUMIFS(Transacciones!$G$2:$G1001,Transacciones!$A$2:$A1001,A28,Transacciones!$C$2:$C1001,"Compra")-SUMIFS(Transacciones!$G$2:$G1001,Transacciones!$A$2:$A1001,A28,Transacciones!$C$2:$C1001,"Venta"))/C28,0)</f>
        <v>1135</v>
      </c>
      <c r="F28" s="30">
        <v>900.3</v>
      </c>
      <c r="G28" s="31">
        <f t="shared" si="4"/>
        <v>111230</v>
      </c>
      <c r="H28" s="31">
        <f t="shared" si="5"/>
        <v>88229.4</v>
      </c>
      <c r="I28" s="31">
        <f t="shared" si="6"/>
        <v>-23000.6</v>
      </c>
      <c r="J28" s="32">
        <f t="shared" si="7"/>
        <v>-0.206784141</v>
      </c>
      <c r="K28" s="36" t="s">
        <v>115</v>
      </c>
    </row>
    <row r="29">
      <c r="A29" s="41" t="s">
        <v>92</v>
      </c>
      <c r="B29" s="28" t="s">
        <v>5</v>
      </c>
      <c r="C29" s="44">
        <f>SUMIFS(Transacciones!$D$2:$D1001,Transacciones!$A$2:$A1001,A29,Transacciones!$C$2:$C1001,"Compra")-SUMIFS(Transacciones!$D$2:$D1001,Transacciones!$A$2:$A1001,A29,Transacciones!$C$2:$C1001,"Venta")</f>
        <v>99</v>
      </c>
      <c r="D29" s="32">
        <f t="shared" si="3"/>
        <v>0.0111151102</v>
      </c>
      <c r="E29" s="30">
        <f>IFERROR((SUMIFS(Transacciones!$G$2:$G1001,Transacciones!$A$2:$A1001,A29,Transacciones!$C$2:$C1001,"Compra")-SUMIFS(Transacciones!$G$2:$G1001,Transacciones!$A$2:$A1001,A29,Transacciones!$C$2:$C1001,"Venta"))/C29,0)</f>
        <v>1315.0625</v>
      </c>
      <c r="F29" s="30">
        <v>1152.0</v>
      </c>
      <c r="G29" s="31">
        <f t="shared" si="4"/>
        <v>130191.1875</v>
      </c>
      <c r="H29" s="31">
        <f t="shared" si="5"/>
        <v>114048</v>
      </c>
      <c r="I29" s="31">
        <f t="shared" si="6"/>
        <v>-16143.1875</v>
      </c>
      <c r="J29" s="32">
        <f t="shared" si="7"/>
        <v>-0.1239960078</v>
      </c>
      <c r="K29" s="36" t="s">
        <v>115</v>
      </c>
    </row>
    <row r="30">
      <c r="A30" s="41" t="s">
        <v>93</v>
      </c>
      <c r="B30" s="28" t="s">
        <v>5</v>
      </c>
      <c r="C30" s="44">
        <f>SUMIFS(Transacciones!$D$2:$D1001,Transacciones!$A$2:$A1001,A30,Transacciones!$C$2:$C1001,"Compra")-SUMIFS(Transacciones!$D$2:$D1001,Transacciones!$A$2:$A1001,A30,Transacciones!$C$2:$C1001,"Venta")</f>
        <v>98</v>
      </c>
      <c r="D30" s="32">
        <f t="shared" si="3"/>
        <v>0.0106685488</v>
      </c>
      <c r="E30" s="30">
        <f>IFERROR((SUMIFS(Transacciones!$G$2:$G1001,Transacciones!$A$2:$A1001,A30,Transacciones!$C$2:$C1001,"Compra")-SUMIFS(Transacciones!$G$2:$G1001,Transacciones!$A$2:$A1001,A30,Transacciones!$C$2:$C1001,"Venta"))/C30,0)</f>
        <v>1197.8</v>
      </c>
      <c r="F30" s="30">
        <v>1117.0</v>
      </c>
      <c r="G30" s="31">
        <f t="shared" si="4"/>
        <v>117384.4</v>
      </c>
      <c r="H30" s="31">
        <f t="shared" si="5"/>
        <v>109466</v>
      </c>
      <c r="I30" s="31">
        <f t="shared" si="6"/>
        <v>-7918.4</v>
      </c>
      <c r="J30" s="32">
        <f t="shared" si="7"/>
        <v>-0.06745700451</v>
      </c>
      <c r="K30" s="36" t="s">
        <v>115</v>
      </c>
    </row>
    <row r="31">
      <c r="A31" s="36" t="s">
        <v>90</v>
      </c>
      <c r="B31" s="28" t="s">
        <v>6</v>
      </c>
      <c r="C31" s="44">
        <f>SUMIFS(Transacciones!$D$2:$D1001,Transacciones!$A$2:$A1001,A31,Transacciones!$C$2:$C1001,"Compra")-SUMIFS(Transacciones!$D$2:$D1001,Transacciones!$A$2:$A1001,A31,Transacciones!$C$2:$C1001,"Venta")</f>
        <v>38715.0435</v>
      </c>
      <c r="D31" s="32">
        <f t="shared" si="3"/>
        <v>0.05122411705</v>
      </c>
      <c r="E31" s="30">
        <f>IFERROR((SUMIFS(Transacciones!$G$2:$G1001,Transacciones!$A$2:$A1001,A31,Transacciones!$C$2:$C1001,"Compra")-SUMIFS(Transacciones!$G$2:$G1001,Transacciones!$A$2:$A1001,A31,Transacciones!$C$2:$C1001,"Venta"))/C31,0)</f>
        <v>12.9</v>
      </c>
      <c r="F31" s="30">
        <v>13.5759</v>
      </c>
      <c r="G31" s="31">
        <f t="shared" si="4"/>
        <v>499424.0612</v>
      </c>
      <c r="H31" s="31">
        <f t="shared" si="5"/>
        <v>525591.5591</v>
      </c>
      <c r="I31" s="31">
        <f t="shared" si="6"/>
        <v>26167.4979</v>
      </c>
      <c r="J31" s="32">
        <f t="shared" si="7"/>
        <v>0.05239534884</v>
      </c>
      <c r="K31" s="36" t="s">
        <v>115</v>
      </c>
    </row>
    <row r="32">
      <c r="A32" s="41" t="s">
        <v>72</v>
      </c>
      <c r="B32" s="28" t="s">
        <v>6</v>
      </c>
      <c r="C32" s="44">
        <f>SUMIFS(Transacciones!$D$2:$D1001,Transacciones!$A$2:$A1001,A32,Transacciones!$C$2:$C1001,"Compra")-SUMIFS(Transacciones!$D$2:$D1001,Transacciones!$A$2:$A1001,A32,Transacciones!$C$2:$C1001,"Venta")</f>
        <v>10501.993</v>
      </c>
      <c r="D32" s="32">
        <f t="shared" si="3"/>
        <v>0.1221828123</v>
      </c>
      <c r="E32" s="30">
        <f>IFERROR((SUMIFS(Transacciones!$G$2:$G1001,Transacciones!$A$2:$A1001,A32,Transacciones!$C$2:$C1001,"Compra")-SUMIFS(Transacciones!$G$2:$G1001,Transacciones!$A$2:$A1001,A32,Transacciones!$C$2:$C1001,"Venta"))/C32,0)</f>
        <v>104.14</v>
      </c>
      <c r="F32" s="30">
        <v>119.3747</v>
      </c>
      <c r="G32" s="31">
        <f t="shared" si="4"/>
        <v>1093677.551</v>
      </c>
      <c r="H32" s="31">
        <f t="shared" si="5"/>
        <v>1253672.264</v>
      </c>
      <c r="I32" s="31">
        <f t="shared" si="6"/>
        <v>159994.7128</v>
      </c>
      <c r="J32" s="32">
        <f t="shared" si="7"/>
        <v>0.1462905704</v>
      </c>
      <c r="K32" s="36" t="s">
        <v>115</v>
      </c>
    </row>
    <row r="33">
      <c r="A33" s="66" t="s">
        <v>73</v>
      </c>
      <c r="B33" s="28" t="s">
        <v>6</v>
      </c>
      <c r="C33" s="44">
        <f>SUMIFS(Transacciones!$D$2:$D1001,Transacciones!$A$2:$A1001,A33,Transacciones!$C$2:$C1001,"Compra")-SUMIFS(Transacciones!$D$2:$D1001,Transacciones!$A$2:$A1001,A33,Transacciones!$C$2:$C1001,"Venta")</f>
        <v>120.775</v>
      </c>
      <c r="D33" s="32">
        <f t="shared" si="3"/>
        <v>0.01138456105</v>
      </c>
      <c r="E33" s="30">
        <f>IFERROR((SUMIFS(Transacciones!$G$2:$G1001,Transacciones!$A$2:$A1001,A33,Transacciones!$C$2:$C1001,"Compra")-SUMIFS(Transacciones!$G$2:$G1001,Transacciones!$A$2:$A1001,A33,Transacciones!$C$2:$C1001,"Venta"))/C33,0)</f>
        <v>1067</v>
      </c>
      <c r="F33" s="30">
        <v>967.193</v>
      </c>
      <c r="G33" s="31">
        <f t="shared" si="4"/>
        <v>128866.925</v>
      </c>
      <c r="H33" s="31">
        <f t="shared" si="5"/>
        <v>116812.7346</v>
      </c>
      <c r="I33" s="31">
        <f t="shared" si="6"/>
        <v>-12054.19043</v>
      </c>
      <c r="J33" s="32">
        <f t="shared" si="7"/>
        <v>-0.0935398313</v>
      </c>
      <c r="K33" s="36" t="s">
        <v>115</v>
      </c>
    </row>
    <row r="34">
      <c r="A34" s="66" t="s">
        <v>83</v>
      </c>
      <c r="B34" s="28" t="s">
        <v>6</v>
      </c>
      <c r="C34" s="44">
        <f>SUMIFS(Transacciones!$D$2:$D1001,Transacciones!$A$2:$A1001,A34,Transacciones!$C$2:$C1001,"Compra")-SUMIFS(Transacciones!$D$2:$D1001,Transacciones!$A$2:$A1001,A34,Transacciones!$C$2:$C1001,"Venta")</f>
        <v>93074.373</v>
      </c>
      <c r="D34" s="32">
        <f t="shared" si="3"/>
        <v>0.05191527291</v>
      </c>
      <c r="E34" s="30">
        <f>IFERROR((SUMIFS(Transacciones!$G$2:$G1001,Transacciones!$A$2:$A1001,A34,Transacciones!$C$2:$C1001,"Compra")-SUMIFS(Transacciones!$G$2:$G1001,Transacciones!$A$2:$A1001,A34,Transacciones!$C$2:$C1001,"Venta"))/C34,0)</f>
        <v>5.34195</v>
      </c>
      <c r="F34" s="30">
        <v>5.7232</v>
      </c>
      <c r="G34" s="31">
        <f t="shared" si="4"/>
        <v>497198.6468</v>
      </c>
      <c r="H34" s="31">
        <f t="shared" si="5"/>
        <v>532683.2516</v>
      </c>
      <c r="I34" s="31">
        <f t="shared" si="6"/>
        <v>35484.60471</v>
      </c>
      <c r="J34" s="32">
        <f t="shared" si="7"/>
        <v>0.07136906935</v>
      </c>
      <c r="K34" s="36" t="s">
        <v>115</v>
      </c>
    </row>
    <row r="35">
      <c r="A35" s="36" t="s">
        <v>84</v>
      </c>
      <c r="B35" s="28" t="s">
        <v>6</v>
      </c>
      <c r="C35" s="44">
        <f>SUMIFS(Transacciones!$D$2:$D1001,Transacciones!$A$2:$A1001,A35,Transacciones!$C$2:$C1001,"Compra")-SUMIFS(Transacciones!$D$2:$D1001,Transacciones!$A$2:$A1001,A35,Transacciones!$C$2:$C1001,"Venta")</f>
        <v>13039.77109</v>
      </c>
      <c r="D35" s="32">
        <f t="shared" si="3"/>
        <v>0.1093933084</v>
      </c>
      <c r="E35" s="30">
        <f>IFERROR((SUMIFS(Transacciones!$G$2:$G1001,Transacciones!$A$2:$A1001,A35,Transacciones!$C$2:$C1001,"Compra")-SUMIFS(Transacciones!$G$2:$G1001,Transacciones!$A$2:$A1001,A35,Transacciones!$C$2:$C1001,"Venta"))/C35,0)</f>
        <v>80.36389159</v>
      </c>
      <c r="F35" s="30">
        <v>86.0785</v>
      </c>
      <c r="G35" s="31">
        <f t="shared" si="4"/>
        <v>1047926.75</v>
      </c>
      <c r="H35" s="31">
        <f t="shared" si="5"/>
        <v>1122443.935</v>
      </c>
      <c r="I35" s="31">
        <f t="shared" si="6"/>
        <v>74517.18545</v>
      </c>
      <c r="J35" s="32">
        <f t="shared" si="7"/>
        <v>0.07110915477</v>
      </c>
      <c r="K35" s="36" t="s">
        <v>115</v>
      </c>
    </row>
    <row r="36">
      <c r="A36" s="36" t="s">
        <v>87</v>
      </c>
      <c r="B36" s="28" t="s">
        <v>6</v>
      </c>
      <c r="C36" s="44">
        <f>SUMIFS(Transacciones!$D$2:$D1001,Transacciones!$A$2:$A1001,A36,Transacciones!$C$2:$C1001,"Compra")-SUMIFS(Transacciones!$D$2:$D1001,Transacciones!$A$2:$A1001,A36,Transacciones!$C$2:$C1001,"Venta")</f>
        <v>2374.82</v>
      </c>
      <c r="D36" s="32">
        <f t="shared" si="3"/>
        <v>0.1041159224</v>
      </c>
      <c r="E36" s="30">
        <f>IFERROR((SUMIFS(Transacciones!$G$2:$G1001,Transacciones!$A$2:$A1001,A36,Transacciones!$C$2:$C1001,"Compra")-SUMIFS(Transacciones!$G$2:$G1001,Transacciones!$A$2:$A1001,A36,Transacciones!$C$2:$C1001,"Venta"))/C36,0)</f>
        <v>421.085741</v>
      </c>
      <c r="F36" s="30">
        <v>449.842365</v>
      </c>
      <c r="G36" s="31">
        <f t="shared" si="4"/>
        <v>1000002.839</v>
      </c>
      <c r="H36" s="31">
        <f t="shared" si="5"/>
        <v>1068294.645</v>
      </c>
      <c r="I36" s="31">
        <f t="shared" si="6"/>
        <v>68291.80581</v>
      </c>
      <c r="J36" s="32">
        <f t="shared" si="7"/>
        <v>0.0682916119</v>
      </c>
      <c r="K36" s="36" t="s">
        <v>117</v>
      </c>
    </row>
    <row r="37">
      <c r="A37" s="36" t="s">
        <v>86</v>
      </c>
      <c r="B37" s="28" t="s">
        <v>6</v>
      </c>
      <c r="C37" s="44">
        <f>SUMIFS(Transacciones!$D$2:$D1001,Transacciones!$A$2:$A1001,A37,Transacciones!$C$2:$C1001,"Compra")-SUMIFS(Transacciones!$D$2:$D1001,Transacciones!$A$2:$A1001,A37,Transacciones!$C$2:$C1001,"Venta")</f>
        <v>9615.98</v>
      </c>
      <c r="D37" s="32">
        <f t="shared" si="3"/>
        <v>0.1042705371</v>
      </c>
      <c r="E37" s="30">
        <f>IFERROR((SUMIFS(Transacciones!$G$2:$G1001,Transacciones!$A$2:$A1001,A37,Transacciones!$C$2:$C1001,"Compra")-SUMIFS(Transacciones!$G$2:$G1001,Transacciones!$A$2:$A1001,A37,Transacciones!$C$2:$C1001,"Venta"))/C37,0)</f>
        <v>103.993638</v>
      </c>
      <c r="F37" s="30">
        <v>111.260744</v>
      </c>
      <c r="G37" s="31">
        <f t="shared" si="4"/>
        <v>1000000.743</v>
      </c>
      <c r="H37" s="31">
        <f t="shared" si="5"/>
        <v>1069881.089</v>
      </c>
      <c r="I37" s="31">
        <f t="shared" si="6"/>
        <v>69880.34595</v>
      </c>
      <c r="J37" s="32">
        <f t="shared" si="7"/>
        <v>0.06988029402</v>
      </c>
      <c r="K37" s="36" t="s">
        <v>117</v>
      </c>
    </row>
    <row r="38">
      <c r="A38" s="36" t="s">
        <v>85</v>
      </c>
      <c r="B38" s="28" t="s">
        <v>6</v>
      </c>
      <c r="C38" s="44">
        <f>SUMIFS(Transacciones!$D$2:$D1001,Transacciones!$A$2:$A1001,A38,Transacciones!$C$2:$C1001,"Compra")-SUMIFS(Transacciones!$D$2:$D1001,Transacciones!$A$2:$A1001,A38,Transacciones!$C$2:$C1001,"Venta")</f>
        <v>15844.09</v>
      </c>
      <c r="D38" s="32">
        <f t="shared" si="3"/>
        <v>0.09709702712</v>
      </c>
      <c r="E38" s="30">
        <f>IFERROR((SUMIFS(Transacciones!$G$2:$G1001,Transacciones!$A$2:$A1001,A38,Transacciones!$C$2:$C1001,"Compra")-SUMIFS(Transacciones!$G$2:$G1001,Transacciones!$A$2:$A1001,A38,Transacciones!$C$2:$C1001,"Venta"))/C38,0)</f>
        <v>60.20324453</v>
      </c>
      <c r="F38" s="30">
        <v>62.88</v>
      </c>
      <c r="G38" s="31">
        <f t="shared" si="4"/>
        <v>953865.6246</v>
      </c>
      <c r="H38" s="31">
        <f t="shared" si="5"/>
        <v>996276.3792</v>
      </c>
      <c r="I38" s="31">
        <f t="shared" si="6"/>
        <v>42410.75462</v>
      </c>
      <c r="J38" s="32">
        <f t="shared" si="7"/>
        <v>0.04446198031</v>
      </c>
      <c r="K38" s="36" t="s">
        <v>117</v>
      </c>
    </row>
    <row r="39">
      <c r="A39" s="36" t="s">
        <v>97</v>
      </c>
      <c r="B39" s="28" t="s">
        <v>7</v>
      </c>
      <c r="C39" s="44">
        <f>SUMIFS(Transacciones!$D$2:$D1001,Transacciones!$A$2:$A1001,A39,Transacciones!$C$2:$C1001,"Compra")-SUMIFS(Transacciones!$D$2:$D1001,Transacciones!$A$2:$A1001,A39,Transacciones!$C$2:$C1001,"Venta")</f>
        <v>697617</v>
      </c>
      <c r="D39" s="32">
        <f t="shared" si="3"/>
        <v>0.1058048985</v>
      </c>
      <c r="E39" s="30">
        <f>IFERROR((SUMIFS(Transacciones!$G$2:$G1001,Transacciones!$A$2:$A1001,A39,Transacciones!$C$2:$C1001,"Compra")-SUMIFS(Transacciones!$G$2:$G1001,Transacciones!$A$2:$A1001,A39,Transacciones!$C$2:$C1001,"Venta"))/C39,0)</f>
        <v>1.51</v>
      </c>
      <c r="F39" s="30">
        <v>1.55619</v>
      </c>
      <c r="G39" s="31">
        <f t="shared" si="4"/>
        <v>1053401.67</v>
      </c>
      <c r="H39" s="31">
        <f t="shared" si="5"/>
        <v>1085624.599</v>
      </c>
      <c r="I39" s="31">
        <f t="shared" si="6"/>
        <v>32222.92923</v>
      </c>
      <c r="J39" s="32">
        <f t="shared" si="7"/>
        <v>0.03058940397</v>
      </c>
      <c r="K39" s="36" t="s">
        <v>115</v>
      </c>
    </row>
    <row r="40">
      <c r="A40" s="36" t="s">
        <v>99</v>
      </c>
      <c r="B40" s="28" t="s">
        <v>7</v>
      </c>
      <c r="C40" s="44">
        <f>SUMIFS(Transacciones!$D$2:$D1001,Transacciones!$A$2:$A1001,A40,Transacciones!$C$2:$C1001,"Compra")-SUMIFS(Transacciones!$D$2:$D1001,Transacciones!$A$2:$A1001,A40,Transacciones!$C$2:$C1001,"Venta")</f>
        <v>40262</v>
      </c>
      <c r="D40" s="32">
        <f t="shared" si="3"/>
        <v>0.00622217856</v>
      </c>
      <c r="E40" s="30">
        <f>IFERROR((SUMIFS(Transacciones!$G$2:$G1001,Transacciones!$A$2:$A1001,A40,Transacciones!$C$2:$C1001,"Compra")-SUMIFS(Transacciones!$G$2:$G1001,Transacciones!$A$2:$A1001,A40,Transacciones!$C$2:$C1001,"Venta"))/C40,0)</f>
        <v>1.53</v>
      </c>
      <c r="F40" s="30">
        <v>1.5857</v>
      </c>
      <c r="G40" s="31">
        <f t="shared" si="4"/>
        <v>61600.86</v>
      </c>
      <c r="H40" s="31">
        <f t="shared" si="5"/>
        <v>63843.4534</v>
      </c>
      <c r="I40" s="31">
        <f t="shared" si="6"/>
        <v>2242.5934</v>
      </c>
      <c r="J40" s="32">
        <f t="shared" si="7"/>
        <v>0.03640522876</v>
      </c>
      <c r="K40" s="36" t="s">
        <v>115</v>
      </c>
    </row>
    <row r="41">
      <c r="A41" s="36" t="s">
        <v>98</v>
      </c>
      <c r="B41" s="28" t="s">
        <v>7</v>
      </c>
      <c r="C41" s="44">
        <f>SUMIFS(Transacciones!$D$2:$D1001,Transacciones!$A$2:$A1001,A41,Transacciones!$C$2:$C1001,"Compra")-SUMIFS(Transacciones!$D$2:$D1001,Transacciones!$A$2:$A1001,A41,Transacciones!$C$2:$C1001,"Venta")</f>
        <v>490</v>
      </c>
      <c r="D41" s="32">
        <f t="shared" si="3"/>
        <v>0.0136293815</v>
      </c>
      <c r="E41" s="30">
        <f>IFERROR((SUMIFS(Transacciones!$G$2:$G1001,Transacciones!$A$2:$A1001,A41,Transacciones!$C$2:$C1001,"Compra")-SUMIFS(Transacciones!$G$2:$G1001,Transacciones!$A$2:$A1001,A41,Transacciones!$C$2:$C1001,"Venta"))/C41,0)</f>
        <v>285.3061224</v>
      </c>
      <c r="F41" s="30">
        <v>285.4</v>
      </c>
      <c r="G41" s="31">
        <f t="shared" si="4"/>
        <v>139800</v>
      </c>
      <c r="H41" s="31">
        <f t="shared" si="5"/>
        <v>139846</v>
      </c>
      <c r="I41" s="31">
        <f t="shared" si="6"/>
        <v>45.99999999</v>
      </c>
      <c r="J41" s="32">
        <f t="shared" si="7"/>
        <v>0.0003290414878</v>
      </c>
      <c r="K41" s="36" t="s">
        <v>115</v>
      </c>
    </row>
    <row r="42">
      <c r="A42" s="36" t="s">
        <v>100</v>
      </c>
      <c r="B42" s="28" t="s">
        <v>7</v>
      </c>
      <c r="C42" s="44">
        <f>SUMIFS(Transacciones!$D$2:$D1001,Transacciones!$A$2:$A1001,A42,Transacciones!$C$2:$C1001,"Compra")-SUMIFS(Transacciones!$D$2:$D1001,Transacciones!$A$2:$A1001,A42,Transacciones!$C$2:$C1001,"Venta")</f>
        <v>462349</v>
      </c>
      <c r="D42" s="32">
        <f t="shared" si="3"/>
        <v>0.05628056651</v>
      </c>
      <c r="E42" s="30">
        <f>IFERROR((SUMIFS(Transacciones!$G$2:$G1001,Transacciones!$A$2:$A1001,A42,Transacciones!$C$2:$C1001,"Compra")-SUMIFS(Transacciones!$G$2:$G1001,Transacciones!$A$2:$A1001,A42,Transacciones!$C$2:$C1001,"Venta"))/C42,0)</f>
        <v>1.249</v>
      </c>
      <c r="F42" s="30">
        <v>1.249</v>
      </c>
      <c r="G42" s="31">
        <f t="shared" si="4"/>
        <v>577473.901</v>
      </c>
      <c r="H42" s="31">
        <f t="shared" si="5"/>
        <v>577473.901</v>
      </c>
      <c r="I42" s="31">
        <f t="shared" si="6"/>
        <v>0</v>
      </c>
      <c r="J42" s="32">
        <f t="shared" si="7"/>
        <v>0</v>
      </c>
      <c r="K42" s="36" t="s">
        <v>115</v>
      </c>
    </row>
    <row r="43">
      <c r="A43" s="36" t="s">
        <v>77</v>
      </c>
      <c r="B43" s="28" t="s">
        <v>8</v>
      </c>
      <c r="C43" s="67">
        <f>SUMIFS(Transacciones!$D$2:$D1001,Transacciones!$A$2:$A1001,A43,Transacciones!$C$2:$C1001,"Compra")-SUMIFS(Transacciones!$D$2:$D1001,Transacciones!$A$2:$A1001,A43,Transacciones!$C$2:$C1001,"Venta")</f>
        <v>1</v>
      </c>
      <c r="D43" s="32">
        <f t="shared" si="3"/>
        <v>0.00306316563</v>
      </c>
      <c r="E43" s="30">
        <v>22000.0</v>
      </c>
      <c r="F43" s="30">
        <v>31430.0</v>
      </c>
      <c r="G43" s="31">
        <f t="shared" si="4"/>
        <v>22000</v>
      </c>
      <c r="H43" s="31">
        <f t="shared" si="5"/>
        <v>31430</v>
      </c>
      <c r="I43" s="31">
        <f t="shared" si="6"/>
        <v>9430</v>
      </c>
      <c r="J43" s="32">
        <f t="shared" si="7"/>
        <v>0.4286363636</v>
      </c>
      <c r="K43" s="36" t="s">
        <v>116</v>
      </c>
    </row>
    <row r="44">
      <c r="A44" s="16"/>
      <c r="B44" s="68"/>
      <c r="C44" s="69"/>
      <c r="D44" s="70"/>
      <c r="E44" s="70"/>
      <c r="F44" s="71"/>
      <c r="G44" s="71"/>
      <c r="H44" s="71"/>
      <c r="I44" s="69"/>
      <c r="J44" s="16"/>
    </row>
    <row r="45">
      <c r="A45" s="16"/>
      <c r="B45" s="68"/>
      <c r="C45" s="69"/>
      <c r="D45" s="70"/>
      <c r="E45" s="70"/>
      <c r="F45" s="71"/>
      <c r="G45" s="71"/>
      <c r="H45" s="71"/>
      <c r="I45" s="69"/>
      <c r="J45" s="16"/>
    </row>
  </sheetData>
  <conditionalFormatting sqref="C2:D2 I5:J1001 P5:P9 H44:H46">
    <cfRule type="cellIs" dxfId="0" priority="1" operator="greaterThan">
      <formula>0</formula>
    </cfRule>
  </conditionalFormatting>
  <conditionalFormatting sqref="C2:D2 I5:J1001 P5:P9 H44:H46">
    <cfRule type="cellIs" dxfId="1" priority="2" operator="lessThan">
      <formula>0</formula>
    </cfRule>
  </conditionalFormatting>
  <conditionalFormatting sqref="C2:D2 I5:J1001 P5:P9 H44:H46">
    <cfRule type="cellIs" dxfId="3" priority="3" operator="equal">
      <formula>0</formula>
    </cfRule>
  </conditionalFormatting>
  <conditionalFormatting sqref="C2:C44 B44:B46 C46:C1001">
    <cfRule type="cellIs" dxfId="2" priority="4" operator="equal">
      <formula>0</formula>
    </cfRule>
  </conditionalFormatting>
  <dataValidations>
    <dataValidation type="list" allowBlank="1" sqref="B5:B25">
      <formula1>"Acciones,Cedear,Opciones,Opc Negociables,Bonos,FCI,FCI/Jardin,FCI/Cobertura,Letras"</formula1>
    </dataValidation>
    <dataValidation type="list" allowBlank="1" showErrorMessage="1" sqref="K5:K43 J44:J45">
      <formula1>"Eco,Ppi,Binance,Galicia"</formula1>
    </dataValidation>
    <dataValidation type="list" allowBlank="1" sqref="B26:B43">
      <formula1>"Acciones,Cedear,Opc/Futuros,ON,Bonos,FCI,Letras,Cripto"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6.25"/>
    <col customWidth="1" min="4" max="4" width="13.75"/>
    <col customWidth="1" min="5" max="5" width="20.0"/>
    <col customWidth="1" min="6" max="6" width="20.63"/>
    <col customWidth="1" min="7" max="7" width="18.25"/>
    <col customWidth="1" min="8" max="8" width="14.75"/>
    <col customWidth="1" min="9" max="9" width="15.25"/>
    <col customWidth="1" min="10" max="10" width="16.25"/>
    <col customWidth="1" min="11" max="11" width="13.88"/>
    <col customWidth="1" min="13" max="13" width="14.5"/>
    <col customWidth="1" min="16" max="16" width="14.0"/>
  </cols>
  <sheetData>
    <row r="1">
      <c r="A1" s="54" t="s">
        <v>101</v>
      </c>
      <c r="C1" s="55" t="s">
        <v>40</v>
      </c>
      <c r="D1" s="55" t="s">
        <v>41</v>
      </c>
      <c r="E1" s="55" t="s">
        <v>102</v>
      </c>
      <c r="F1" s="55" t="s">
        <v>103</v>
      </c>
      <c r="G1" s="26" t="s">
        <v>9</v>
      </c>
      <c r="H1" s="55" t="s">
        <v>104</v>
      </c>
      <c r="I1" s="55" t="s">
        <v>105</v>
      </c>
      <c r="M1" s="56" t="s">
        <v>1</v>
      </c>
      <c r="N1" s="9">
        <f>SUMIF(B4:B999,M1,G4:G999)</f>
        <v>0</v>
      </c>
    </row>
    <row r="2">
      <c r="C2" s="31">
        <v>310357.0692748995</v>
      </c>
      <c r="D2" s="32">
        <v>0.03533251069404009</v>
      </c>
      <c r="E2" s="31">
        <v>8783895.14864712</v>
      </c>
      <c r="F2" s="57">
        <v>9094252.21792202</v>
      </c>
      <c r="G2" s="57">
        <v>300653.56070439966</v>
      </c>
      <c r="H2" s="57">
        <v>9084548.70935152</v>
      </c>
      <c r="I2" s="57">
        <v>9394905.77862642</v>
      </c>
      <c r="M2" s="58" t="s">
        <v>2</v>
      </c>
      <c r="N2" s="9">
        <f t="shared" ref="N2:N8" si="1">SUMIF($B$5:B999,M2,$H$5:H999)</f>
        <v>305751.82</v>
      </c>
    </row>
    <row r="3">
      <c r="J3" s="59"/>
      <c r="M3" s="56" t="s">
        <v>3</v>
      </c>
      <c r="N3" s="9">
        <f t="shared" si="1"/>
        <v>51180</v>
      </c>
    </row>
    <row r="4">
      <c r="A4" s="26" t="s">
        <v>32</v>
      </c>
      <c r="B4" s="26" t="s">
        <v>34</v>
      </c>
      <c r="C4" s="26" t="s">
        <v>106</v>
      </c>
      <c r="D4" s="26" t="s">
        <v>107</v>
      </c>
      <c r="E4" s="26" t="s">
        <v>108</v>
      </c>
      <c r="F4" s="26" t="s">
        <v>109</v>
      </c>
      <c r="G4" s="26" t="s">
        <v>110</v>
      </c>
      <c r="H4" s="26" t="s">
        <v>111</v>
      </c>
      <c r="I4" s="26" t="s">
        <v>40</v>
      </c>
      <c r="J4" s="26" t="s">
        <v>41</v>
      </c>
      <c r="K4" s="26" t="s">
        <v>112</v>
      </c>
      <c r="L4" s="27"/>
      <c r="M4" s="58" t="s">
        <v>4</v>
      </c>
      <c r="N4" s="9">
        <f t="shared" si="1"/>
        <v>683313</v>
      </c>
      <c r="O4" s="27"/>
      <c r="P4" s="26" t="s">
        <v>113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9" t="s">
        <v>44</v>
      </c>
      <c r="B5" s="28" t="s">
        <v>2</v>
      </c>
      <c r="C5" s="44">
        <v>15.0</v>
      </c>
      <c r="D5" s="32">
        <f t="shared" ref="D5:D41" si="2">(H5/$F$2)</f>
        <v>0.001160348289</v>
      </c>
      <c r="E5" s="30">
        <v>984.0</v>
      </c>
      <c r="F5" s="31">
        <v>703.5</v>
      </c>
      <c r="G5" s="31">
        <f t="shared" ref="G5:G41" si="3">C5*E5</f>
        <v>14760</v>
      </c>
      <c r="H5" s="31">
        <f t="shared" ref="H5:H41" si="4">F5*C5</f>
        <v>10552.5</v>
      </c>
      <c r="I5" s="31">
        <f t="shared" ref="I5:I41" si="5">H5-G5</f>
        <v>-4207.5</v>
      </c>
      <c r="J5" s="32">
        <f t="shared" ref="J5:J41" si="6">IFERROR(I5/G5,0)</f>
        <v>-0.2850609756</v>
      </c>
      <c r="K5" s="36" t="s">
        <v>114</v>
      </c>
      <c r="M5" s="56" t="s">
        <v>5</v>
      </c>
      <c r="N5" s="9">
        <f t="shared" si="1"/>
        <v>340811.4</v>
      </c>
      <c r="P5" s="60">
        <f>SUM(I5-Junio!I5)</f>
        <v>-187.5</v>
      </c>
    </row>
    <row r="6">
      <c r="A6" s="33" t="s">
        <v>46</v>
      </c>
      <c r="B6" s="28" t="s">
        <v>2</v>
      </c>
      <c r="C6" s="44">
        <v>30.0</v>
      </c>
      <c r="D6" s="32">
        <f t="shared" si="2"/>
        <v>0.0005327540829</v>
      </c>
      <c r="E6" s="30">
        <v>371.26666666666665</v>
      </c>
      <c r="F6" s="31">
        <v>161.5</v>
      </c>
      <c r="G6" s="31">
        <f t="shared" si="3"/>
        <v>11138</v>
      </c>
      <c r="H6" s="31">
        <f t="shared" si="4"/>
        <v>4845</v>
      </c>
      <c r="I6" s="31">
        <f t="shared" si="5"/>
        <v>-6293</v>
      </c>
      <c r="J6" s="32">
        <f t="shared" si="6"/>
        <v>-0.5650026935</v>
      </c>
      <c r="K6" s="36" t="s">
        <v>114</v>
      </c>
      <c r="M6" s="56" t="s">
        <v>6</v>
      </c>
      <c r="N6" s="9">
        <f t="shared" si="1"/>
        <v>6685655.858</v>
      </c>
      <c r="P6" s="60">
        <f>SUM(I6-Junio!I6)</f>
        <v>-915</v>
      </c>
    </row>
    <row r="7">
      <c r="A7" s="33" t="s">
        <v>47</v>
      </c>
      <c r="B7" s="28" t="s">
        <v>2</v>
      </c>
      <c r="C7" s="44">
        <v>20.0</v>
      </c>
      <c r="D7" s="32">
        <f t="shared" si="2"/>
        <v>0.002797371284</v>
      </c>
      <c r="E7" s="30">
        <v>1740.0</v>
      </c>
      <c r="F7" s="31">
        <v>1272.0</v>
      </c>
      <c r="G7" s="31">
        <f t="shared" si="3"/>
        <v>34800</v>
      </c>
      <c r="H7" s="31">
        <f t="shared" si="4"/>
        <v>25440</v>
      </c>
      <c r="I7" s="31">
        <f t="shared" si="5"/>
        <v>-9360</v>
      </c>
      <c r="J7" s="32">
        <f t="shared" si="6"/>
        <v>-0.2689655172</v>
      </c>
      <c r="K7" s="36" t="s">
        <v>114</v>
      </c>
      <c r="M7" s="61" t="s">
        <v>7</v>
      </c>
      <c r="N7" s="9">
        <f t="shared" si="1"/>
        <v>2344814.022</v>
      </c>
      <c r="P7" s="60">
        <f>SUM(I7-Junio!I7)</f>
        <v>-2960</v>
      </c>
    </row>
    <row r="8">
      <c r="A8" s="33" t="s">
        <v>48</v>
      </c>
      <c r="B8" s="28" t="s">
        <v>2</v>
      </c>
      <c r="C8" s="44">
        <v>46.0</v>
      </c>
      <c r="D8" s="32">
        <f t="shared" si="2"/>
        <v>0.0001766302453</v>
      </c>
      <c r="E8" s="30">
        <v>232.2336956521739</v>
      </c>
      <c r="F8" s="31">
        <v>34.92</v>
      </c>
      <c r="G8" s="31">
        <f t="shared" si="3"/>
        <v>10682.75</v>
      </c>
      <c r="H8" s="31">
        <f t="shared" si="4"/>
        <v>1606.32</v>
      </c>
      <c r="I8" s="31">
        <f t="shared" si="5"/>
        <v>-9076.43</v>
      </c>
      <c r="J8" s="32">
        <f t="shared" si="6"/>
        <v>-0.8496342234</v>
      </c>
      <c r="K8" s="36" t="s">
        <v>114</v>
      </c>
      <c r="M8" s="61" t="s">
        <v>8</v>
      </c>
      <c r="N8" s="9">
        <f t="shared" si="1"/>
        <v>31430</v>
      </c>
      <c r="P8" s="60">
        <f>SUM(I8-Junio!I8)</f>
        <v>-3821.68</v>
      </c>
    </row>
    <row r="9">
      <c r="A9" s="33" t="s">
        <v>49</v>
      </c>
      <c r="B9" s="28" t="s">
        <v>2</v>
      </c>
      <c r="C9" s="44">
        <v>25.0</v>
      </c>
      <c r="D9" s="32">
        <f t="shared" si="2"/>
        <v>0.004398382521</v>
      </c>
      <c r="E9" s="30">
        <v>1270.6</v>
      </c>
      <c r="F9" s="31">
        <v>1600.0</v>
      </c>
      <c r="G9" s="31">
        <f t="shared" si="3"/>
        <v>31765</v>
      </c>
      <c r="H9" s="31">
        <f t="shared" si="4"/>
        <v>40000</v>
      </c>
      <c r="I9" s="31">
        <f t="shared" si="5"/>
        <v>8235</v>
      </c>
      <c r="J9" s="32">
        <f t="shared" si="6"/>
        <v>0.2592475996</v>
      </c>
      <c r="K9" s="36" t="s">
        <v>114</v>
      </c>
      <c r="M9" s="62" t="s">
        <v>9</v>
      </c>
      <c r="N9" s="63">
        <v>107420.0</v>
      </c>
      <c r="P9" s="60">
        <f>SUM(I9-Junio!I9)</f>
        <v>1875</v>
      </c>
    </row>
    <row r="10">
      <c r="A10" s="33" t="s">
        <v>50</v>
      </c>
      <c r="B10" s="28" t="s">
        <v>2</v>
      </c>
      <c r="C10" s="44">
        <v>100.0</v>
      </c>
      <c r="D10" s="32">
        <f t="shared" si="2"/>
        <v>0.000333177476</v>
      </c>
      <c r="E10" s="30">
        <v>394.0</v>
      </c>
      <c r="F10" s="31">
        <v>30.3</v>
      </c>
      <c r="G10" s="31">
        <f t="shared" si="3"/>
        <v>39400</v>
      </c>
      <c r="H10" s="31">
        <f t="shared" si="4"/>
        <v>3030</v>
      </c>
      <c r="I10" s="31">
        <f t="shared" si="5"/>
        <v>-36370</v>
      </c>
      <c r="J10" s="32">
        <f t="shared" si="6"/>
        <v>-0.9230964467</v>
      </c>
      <c r="K10" s="36" t="s">
        <v>114</v>
      </c>
      <c r="M10" s="64" t="s">
        <v>10</v>
      </c>
      <c r="N10" s="65">
        <f>SUM(N1:N9)</f>
        <v>10550376.1</v>
      </c>
    </row>
    <row r="11">
      <c r="A11" s="33" t="s">
        <v>51</v>
      </c>
      <c r="B11" s="28" t="s">
        <v>2</v>
      </c>
      <c r="C11" s="44">
        <v>20.0</v>
      </c>
      <c r="D11" s="32">
        <f t="shared" si="2"/>
        <v>0.007438764439</v>
      </c>
      <c r="E11" s="30">
        <v>4200.0</v>
      </c>
      <c r="F11" s="31">
        <v>3382.5</v>
      </c>
      <c r="G11" s="31">
        <f t="shared" si="3"/>
        <v>84000</v>
      </c>
      <c r="H11" s="31">
        <f t="shared" si="4"/>
        <v>67650</v>
      </c>
      <c r="I11" s="31">
        <f t="shared" si="5"/>
        <v>-16350</v>
      </c>
      <c r="J11" s="32">
        <f t="shared" si="6"/>
        <v>-0.1946428571</v>
      </c>
      <c r="K11" s="36" t="s">
        <v>114</v>
      </c>
    </row>
    <row r="12">
      <c r="A12" s="33" t="s">
        <v>52</v>
      </c>
      <c r="B12" s="28" t="s">
        <v>2</v>
      </c>
      <c r="C12" s="44">
        <v>7660.0</v>
      </c>
      <c r="D12" s="32">
        <f t="shared" si="2"/>
        <v>0.01549814065</v>
      </c>
      <c r="E12" s="30">
        <v>40.0</v>
      </c>
      <c r="F12" s="31">
        <v>18.4</v>
      </c>
      <c r="G12" s="31">
        <f t="shared" si="3"/>
        <v>306400</v>
      </c>
      <c r="H12" s="31">
        <f t="shared" si="4"/>
        <v>140944</v>
      </c>
      <c r="I12" s="31">
        <f t="shared" si="5"/>
        <v>-165456</v>
      </c>
      <c r="J12" s="32">
        <f t="shared" si="6"/>
        <v>-0.54</v>
      </c>
      <c r="K12" s="36" t="s">
        <v>114</v>
      </c>
      <c r="M12" s="61" t="s">
        <v>114</v>
      </c>
      <c r="N12" s="9">
        <f t="shared" ref="N12:N15" si="7">SUMIF($K$5:$K999,M12,$H$5:$H999)</f>
        <v>1069312.82</v>
      </c>
    </row>
    <row r="13">
      <c r="A13" s="38" t="s">
        <v>54</v>
      </c>
      <c r="B13" s="28" t="s">
        <v>2</v>
      </c>
      <c r="C13" s="44">
        <v>23.0</v>
      </c>
      <c r="D13" s="32">
        <f t="shared" si="2"/>
        <v>0.001284767534</v>
      </c>
      <c r="E13" s="30">
        <v>963.0</v>
      </c>
      <c r="F13" s="31">
        <v>508.0</v>
      </c>
      <c r="G13" s="31">
        <f t="shared" si="3"/>
        <v>22149</v>
      </c>
      <c r="H13" s="31">
        <f t="shared" si="4"/>
        <v>11684</v>
      </c>
      <c r="I13" s="31">
        <f t="shared" si="5"/>
        <v>-10465</v>
      </c>
      <c r="J13" s="32">
        <f t="shared" si="6"/>
        <v>-0.4724818276</v>
      </c>
      <c r="K13" s="36" t="s">
        <v>114</v>
      </c>
      <c r="M13" s="61" t="s">
        <v>115</v>
      </c>
      <c r="N13" s="9">
        <f t="shared" si="7"/>
        <v>6207761.166</v>
      </c>
    </row>
    <row r="14">
      <c r="A14" s="38" t="s">
        <v>58</v>
      </c>
      <c r="B14" s="28" t="s">
        <v>4</v>
      </c>
      <c r="C14" s="44">
        <v>45.0</v>
      </c>
      <c r="D14" s="32">
        <f t="shared" si="2"/>
        <v>0.01161832743</v>
      </c>
      <c r="E14" s="30">
        <v>1895.0</v>
      </c>
      <c r="F14" s="31">
        <v>2348.0</v>
      </c>
      <c r="G14" s="31">
        <f t="shared" si="3"/>
        <v>85275</v>
      </c>
      <c r="H14" s="31">
        <f t="shared" si="4"/>
        <v>105660</v>
      </c>
      <c r="I14" s="31">
        <f t="shared" si="5"/>
        <v>20385</v>
      </c>
      <c r="J14" s="32">
        <f t="shared" si="6"/>
        <v>0.2390501319</v>
      </c>
      <c r="K14" s="36" t="s">
        <v>114</v>
      </c>
      <c r="M14" s="61" t="s">
        <v>116</v>
      </c>
      <c r="N14" s="9">
        <f t="shared" si="7"/>
        <v>31430</v>
      </c>
    </row>
    <row r="15">
      <c r="A15" s="35" t="s">
        <v>59</v>
      </c>
      <c r="B15" s="28" t="s">
        <v>4</v>
      </c>
      <c r="C15" s="44">
        <v>1.0</v>
      </c>
      <c r="D15" s="32">
        <f t="shared" si="2"/>
        <v>0.00258185054</v>
      </c>
      <c r="E15" s="30">
        <v>11400.0</v>
      </c>
      <c r="F15" s="31">
        <v>23480.0</v>
      </c>
      <c r="G15" s="31">
        <f t="shared" si="3"/>
        <v>11400</v>
      </c>
      <c r="H15" s="31">
        <f t="shared" si="4"/>
        <v>23480</v>
      </c>
      <c r="I15" s="31">
        <f t="shared" si="5"/>
        <v>12080</v>
      </c>
      <c r="J15" s="32">
        <f t="shared" si="6"/>
        <v>1.059649123</v>
      </c>
      <c r="K15" s="36" t="s">
        <v>114</v>
      </c>
      <c r="M15" s="61" t="s">
        <v>117</v>
      </c>
      <c r="N15" s="9">
        <f t="shared" si="7"/>
        <v>3134452.114</v>
      </c>
    </row>
    <row r="16">
      <c r="A16" s="35" t="s">
        <v>60</v>
      </c>
      <c r="B16" s="28" t="s">
        <v>4</v>
      </c>
      <c r="C16" s="44">
        <v>5.0</v>
      </c>
      <c r="D16" s="32">
        <f t="shared" si="2"/>
        <v>0.01132033701</v>
      </c>
      <c r="E16" s="30">
        <v>7400.0</v>
      </c>
      <c r="F16" s="30">
        <v>20590.0</v>
      </c>
      <c r="G16" s="31">
        <f t="shared" si="3"/>
        <v>37000</v>
      </c>
      <c r="H16" s="31">
        <f t="shared" si="4"/>
        <v>102950</v>
      </c>
      <c r="I16" s="31">
        <f t="shared" si="5"/>
        <v>65950</v>
      </c>
      <c r="J16" s="32">
        <f t="shared" si="6"/>
        <v>1.782432432</v>
      </c>
      <c r="K16" s="36" t="s">
        <v>114</v>
      </c>
      <c r="M16" s="64" t="s">
        <v>9</v>
      </c>
      <c r="N16" s="63">
        <v>107420.0</v>
      </c>
    </row>
    <row r="17">
      <c r="A17" s="35" t="s">
        <v>61</v>
      </c>
      <c r="B17" s="28" t="s">
        <v>4</v>
      </c>
      <c r="C17" s="44">
        <v>5.0</v>
      </c>
      <c r="D17" s="32">
        <f t="shared" si="2"/>
        <v>0.005118617659</v>
      </c>
      <c r="E17" s="30">
        <v>5970.0</v>
      </c>
      <c r="F17" s="30">
        <v>9310.0</v>
      </c>
      <c r="G17" s="31">
        <f t="shared" si="3"/>
        <v>29850</v>
      </c>
      <c r="H17" s="31">
        <f t="shared" si="4"/>
        <v>46550</v>
      </c>
      <c r="I17" s="31">
        <f t="shared" si="5"/>
        <v>16700</v>
      </c>
      <c r="J17" s="32">
        <f t="shared" si="6"/>
        <v>0.5594639866</v>
      </c>
      <c r="K17" s="36" t="s">
        <v>114</v>
      </c>
      <c r="M17" s="64" t="s">
        <v>10</v>
      </c>
      <c r="N17" s="65">
        <f>SUM(N12:N16)</f>
        <v>10550376.1</v>
      </c>
    </row>
    <row r="18">
      <c r="A18" s="38" t="s">
        <v>62</v>
      </c>
      <c r="B18" s="28" t="s">
        <v>4</v>
      </c>
      <c r="C18" s="44">
        <v>25.0</v>
      </c>
      <c r="D18" s="32">
        <f t="shared" si="2"/>
        <v>0.01602660631</v>
      </c>
      <c r="E18" s="30">
        <v>3995.0</v>
      </c>
      <c r="F18" s="31">
        <v>5830.0</v>
      </c>
      <c r="G18" s="31">
        <f t="shared" si="3"/>
        <v>99875</v>
      </c>
      <c r="H18" s="31">
        <f t="shared" si="4"/>
        <v>145750</v>
      </c>
      <c r="I18" s="31">
        <f t="shared" si="5"/>
        <v>45875</v>
      </c>
      <c r="J18" s="32">
        <f t="shared" si="6"/>
        <v>0.4593241552</v>
      </c>
      <c r="K18" s="36" t="s">
        <v>114</v>
      </c>
    </row>
    <row r="19">
      <c r="A19" s="37" t="s">
        <v>63</v>
      </c>
      <c r="B19" s="28" t="s">
        <v>4</v>
      </c>
      <c r="C19" s="44">
        <v>1.0</v>
      </c>
      <c r="D19" s="32">
        <f t="shared" si="2"/>
        <v>0.002700606868</v>
      </c>
      <c r="E19" s="30">
        <v>17850.0</v>
      </c>
      <c r="F19" s="31">
        <v>24560.0</v>
      </c>
      <c r="G19" s="31">
        <f t="shared" si="3"/>
        <v>17850</v>
      </c>
      <c r="H19" s="31">
        <f t="shared" si="4"/>
        <v>24560</v>
      </c>
      <c r="I19" s="31">
        <f t="shared" si="5"/>
        <v>6710</v>
      </c>
      <c r="J19" s="32">
        <f t="shared" si="6"/>
        <v>0.3759103641</v>
      </c>
      <c r="K19" s="36" t="s">
        <v>114</v>
      </c>
    </row>
    <row r="20">
      <c r="A20" s="39" t="s">
        <v>64</v>
      </c>
      <c r="B20" s="28" t="s">
        <v>4</v>
      </c>
      <c r="C20" s="44">
        <v>1.0</v>
      </c>
      <c r="D20" s="32">
        <f t="shared" si="2"/>
        <v>0.002142012288</v>
      </c>
      <c r="E20" s="30">
        <v>15000.0</v>
      </c>
      <c r="F20" s="31">
        <v>19480.0</v>
      </c>
      <c r="G20" s="31">
        <f t="shared" si="3"/>
        <v>15000</v>
      </c>
      <c r="H20" s="31">
        <f t="shared" si="4"/>
        <v>19480</v>
      </c>
      <c r="I20" s="31">
        <f t="shared" si="5"/>
        <v>4480</v>
      </c>
      <c r="J20" s="32">
        <f t="shared" si="6"/>
        <v>0.2986666667</v>
      </c>
      <c r="K20" s="36" t="s">
        <v>114</v>
      </c>
    </row>
    <row r="21">
      <c r="A21" s="37" t="s">
        <v>65</v>
      </c>
      <c r="B21" s="28" t="s">
        <v>4</v>
      </c>
      <c r="C21" s="44">
        <v>9.0</v>
      </c>
      <c r="D21" s="32">
        <f t="shared" si="2"/>
        <v>0.004024849886</v>
      </c>
      <c r="E21" s="30">
        <v>3655.0</v>
      </c>
      <c r="F21" s="30">
        <v>4067.0</v>
      </c>
      <c r="G21" s="31">
        <f t="shared" si="3"/>
        <v>32895</v>
      </c>
      <c r="H21" s="31">
        <f t="shared" si="4"/>
        <v>36603</v>
      </c>
      <c r="I21" s="31">
        <f t="shared" si="5"/>
        <v>3708</v>
      </c>
      <c r="J21" s="32">
        <f t="shared" si="6"/>
        <v>0.1127222982</v>
      </c>
      <c r="K21" s="36" t="s">
        <v>114</v>
      </c>
    </row>
    <row r="22">
      <c r="A22" s="39" t="s">
        <v>66</v>
      </c>
      <c r="B22" s="28" t="s">
        <v>4</v>
      </c>
      <c r="C22" s="44">
        <v>1.0</v>
      </c>
      <c r="D22" s="32">
        <f t="shared" si="2"/>
        <v>0.002641228704</v>
      </c>
      <c r="E22" s="30">
        <v>17775.0</v>
      </c>
      <c r="F22" s="31">
        <v>24020.0</v>
      </c>
      <c r="G22" s="31">
        <f t="shared" si="3"/>
        <v>17775</v>
      </c>
      <c r="H22" s="31">
        <f t="shared" si="4"/>
        <v>24020</v>
      </c>
      <c r="I22" s="31">
        <f t="shared" si="5"/>
        <v>6245</v>
      </c>
      <c r="J22" s="32">
        <f t="shared" si="6"/>
        <v>0.3513361463</v>
      </c>
      <c r="K22" s="36" t="s">
        <v>114</v>
      </c>
    </row>
    <row r="23">
      <c r="A23" s="35" t="s">
        <v>67</v>
      </c>
      <c r="B23" s="28" t="s">
        <v>4</v>
      </c>
      <c r="C23" s="44">
        <v>1.0</v>
      </c>
      <c r="D23" s="32">
        <f t="shared" si="2"/>
        <v>0.0009731421328</v>
      </c>
      <c r="E23" s="30">
        <v>7790.0</v>
      </c>
      <c r="F23" s="30">
        <v>8850.0</v>
      </c>
      <c r="G23" s="31">
        <f t="shared" si="3"/>
        <v>7790</v>
      </c>
      <c r="H23" s="31">
        <f t="shared" si="4"/>
        <v>8850</v>
      </c>
      <c r="I23" s="31">
        <f t="shared" si="5"/>
        <v>1060</v>
      </c>
      <c r="J23" s="32">
        <f t="shared" si="6"/>
        <v>0.136071887</v>
      </c>
      <c r="K23" s="36" t="s">
        <v>114</v>
      </c>
    </row>
    <row r="24">
      <c r="A24" s="38" t="s">
        <v>68</v>
      </c>
      <c r="B24" s="28" t="s">
        <v>4</v>
      </c>
      <c r="C24" s="44">
        <v>2.0</v>
      </c>
      <c r="D24" s="32">
        <f t="shared" si="2"/>
        <v>0.01025262966</v>
      </c>
      <c r="E24" s="30">
        <v>35825.0</v>
      </c>
      <c r="F24" s="31">
        <v>46620.0</v>
      </c>
      <c r="G24" s="31">
        <f t="shared" si="3"/>
        <v>71650</v>
      </c>
      <c r="H24" s="31">
        <f t="shared" si="4"/>
        <v>93240</v>
      </c>
      <c r="I24" s="31">
        <f t="shared" si="5"/>
        <v>21590</v>
      </c>
      <c r="J24" s="32">
        <f t="shared" si="6"/>
        <v>0.3013258897</v>
      </c>
      <c r="K24" s="36" t="s">
        <v>114</v>
      </c>
    </row>
    <row r="25">
      <c r="A25" s="35" t="s">
        <v>70</v>
      </c>
      <c r="B25" s="28" t="s">
        <v>4</v>
      </c>
      <c r="C25" s="44">
        <v>3.0</v>
      </c>
      <c r="D25" s="32">
        <f t="shared" si="2"/>
        <v>0.005736590403</v>
      </c>
      <c r="E25" s="30">
        <v>21041.666666666668</v>
      </c>
      <c r="F25" s="31">
        <v>17390.0</v>
      </c>
      <c r="G25" s="31">
        <f t="shared" si="3"/>
        <v>63125</v>
      </c>
      <c r="H25" s="31">
        <f t="shared" si="4"/>
        <v>52170</v>
      </c>
      <c r="I25" s="31">
        <f t="shared" si="5"/>
        <v>-10955</v>
      </c>
      <c r="J25" s="32">
        <f t="shared" si="6"/>
        <v>-0.1735445545</v>
      </c>
      <c r="K25" s="36" t="s">
        <v>114</v>
      </c>
    </row>
    <row r="26">
      <c r="A26" s="36" t="s">
        <v>55</v>
      </c>
      <c r="B26" s="28" t="s">
        <v>3</v>
      </c>
      <c r="C26" s="44">
        <v>60.0</v>
      </c>
      <c r="D26" s="32">
        <f t="shared" si="2"/>
        <v>0.005627730436</v>
      </c>
      <c r="E26" s="30">
        <v>740.0</v>
      </c>
      <c r="F26" s="30">
        <v>853.0</v>
      </c>
      <c r="G26" s="31">
        <f t="shared" si="3"/>
        <v>44400</v>
      </c>
      <c r="H26" s="31">
        <f t="shared" si="4"/>
        <v>51180</v>
      </c>
      <c r="I26" s="31">
        <f t="shared" si="5"/>
        <v>6780</v>
      </c>
      <c r="J26" s="32">
        <f t="shared" si="6"/>
        <v>0.1527027027</v>
      </c>
      <c r="K26" s="36" t="s">
        <v>114</v>
      </c>
    </row>
    <row r="27">
      <c r="A27" s="36" t="s">
        <v>71</v>
      </c>
      <c r="B27" s="28" t="s">
        <v>5</v>
      </c>
      <c r="C27" s="44">
        <v>26.0</v>
      </c>
      <c r="D27" s="32">
        <f t="shared" si="2"/>
        <v>0.003196304578</v>
      </c>
      <c r="E27" s="30">
        <v>1220.9615384615386</v>
      </c>
      <c r="F27" s="30">
        <v>1118.0</v>
      </c>
      <c r="G27" s="31">
        <f t="shared" si="3"/>
        <v>31745</v>
      </c>
      <c r="H27" s="31">
        <f t="shared" si="4"/>
        <v>29068</v>
      </c>
      <c r="I27" s="31">
        <f t="shared" si="5"/>
        <v>-2677</v>
      </c>
      <c r="J27" s="32">
        <f t="shared" si="6"/>
        <v>-0.08432824067</v>
      </c>
      <c r="K27" s="36" t="s">
        <v>114</v>
      </c>
    </row>
    <row r="28">
      <c r="A28" s="41" t="s">
        <v>94</v>
      </c>
      <c r="B28" s="28" t="s">
        <v>5</v>
      </c>
      <c r="C28" s="44">
        <v>98.0</v>
      </c>
      <c r="D28" s="32">
        <f t="shared" si="2"/>
        <v>0.009701666271</v>
      </c>
      <c r="E28" s="30">
        <v>1135.0</v>
      </c>
      <c r="F28" s="30">
        <v>900.3</v>
      </c>
      <c r="G28" s="31">
        <f t="shared" si="3"/>
        <v>111230</v>
      </c>
      <c r="H28" s="31">
        <f t="shared" si="4"/>
        <v>88229.4</v>
      </c>
      <c r="I28" s="31">
        <f t="shared" si="5"/>
        <v>-23000.6</v>
      </c>
      <c r="J28" s="32">
        <f t="shared" si="6"/>
        <v>-0.206784141</v>
      </c>
      <c r="K28" s="36" t="s">
        <v>115</v>
      </c>
    </row>
    <row r="29">
      <c r="A29" s="41" t="s">
        <v>92</v>
      </c>
      <c r="B29" s="28" t="s">
        <v>5</v>
      </c>
      <c r="C29" s="44">
        <v>99.0</v>
      </c>
      <c r="D29" s="32">
        <f t="shared" si="2"/>
        <v>0.01254066824</v>
      </c>
      <c r="E29" s="30">
        <v>1315.0625</v>
      </c>
      <c r="F29" s="30">
        <v>1152.0</v>
      </c>
      <c r="G29" s="31">
        <f t="shared" si="3"/>
        <v>130191.1875</v>
      </c>
      <c r="H29" s="31">
        <f t="shared" si="4"/>
        <v>114048</v>
      </c>
      <c r="I29" s="31">
        <f t="shared" si="5"/>
        <v>-16143.1875</v>
      </c>
      <c r="J29" s="32">
        <f t="shared" si="6"/>
        <v>-0.1239960078</v>
      </c>
      <c r="K29" s="36" t="s">
        <v>115</v>
      </c>
    </row>
    <row r="30">
      <c r="A30" s="41" t="s">
        <v>93</v>
      </c>
      <c r="B30" s="28" t="s">
        <v>5</v>
      </c>
      <c r="C30" s="44">
        <v>98.0</v>
      </c>
      <c r="D30" s="32">
        <f t="shared" si="2"/>
        <v>0.01203683353</v>
      </c>
      <c r="E30" s="30">
        <v>1197.8</v>
      </c>
      <c r="F30" s="30">
        <v>1117.0</v>
      </c>
      <c r="G30" s="31">
        <f t="shared" si="3"/>
        <v>117384.4</v>
      </c>
      <c r="H30" s="31">
        <f t="shared" si="4"/>
        <v>109466</v>
      </c>
      <c r="I30" s="31">
        <f t="shared" si="5"/>
        <v>-7918.4</v>
      </c>
      <c r="J30" s="32">
        <f t="shared" si="6"/>
        <v>-0.06745700451</v>
      </c>
      <c r="K30" s="36" t="s">
        <v>115</v>
      </c>
    </row>
    <row r="31">
      <c r="A31" s="36" t="s">
        <v>90</v>
      </c>
      <c r="B31" s="28" t="s">
        <v>6</v>
      </c>
      <c r="C31" s="44">
        <v>38715.0435</v>
      </c>
      <c r="D31" s="32">
        <f t="shared" si="2"/>
        <v>0.05779381817</v>
      </c>
      <c r="E31" s="30">
        <v>12.9</v>
      </c>
      <c r="F31" s="30">
        <v>13.5759</v>
      </c>
      <c r="G31" s="31">
        <f t="shared" si="3"/>
        <v>499424.0612</v>
      </c>
      <c r="H31" s="31">
        <f t="shared" si="4"/>
        <v>525591.5591</v>
      </c>
      <c r="I31" s="31">
        <f t="shared" si="5"/>
        <v>26167.4979</v>
      </c>
      <c r="J31" s="32">
        <f t="shared" si="6"/>
        <v>0.05239534884</v>
      </c>
      <c r="K31" s="36" t="s">
        <v>115</v>
      </c>
    </row>
    <row r="32">
      <c r="A32" s="41" t="s">
        <v>72</v>
      </c>
      <c r="B32" s="28" t="s">
        <v>6</v>
      </c>
      <c r="C32" s="44">
        <v>10501.993</v>
      </c>
      <c r="D32" s="32">
        <f t="shared" si="2"/>
        <v>0.1378532543</v>
      </c>
      <c r="E32" s="30">
        <v>104.14000000000001</v>
      </c>
      <c r="F32" s="30">
        <v>119.3747</v>
      </c>
      <c r="G32" s="31">
        <f t="shared" si="3"/>
        <v>1093677.551</v>
      </c>
      <c r="H32" s="31">
        <f t="shared" si="4"/>
        <v>1253672.264</v>
      </c>
      <c r="I32" s="31">
        <f t="shared" si="5"/>
        <v>159994.7128</v>
      </c>
      <c r="J32" s="32">
        <f t="shared" si="6"/>
        <v>0.1462905704</v>
      </c>
      <c r="K32" s="36" t="s">
        <v>115</v>
      </c>
    </row>
    <row r="33">
      <c r="A33" s="66" t="s">
        <v>73</v>
      </c>
      <c r="B33" s="28" t="s">
        <v>6</v>
      </c>
      <c r="C33" s="44">
        <v>120.775</v>
      </c>
      <c r="D33" s="32">
        <f t="shared" si="2"/>
        <v>0.01284467725</v>
      </c>
      <c r="E33" s="30">
        <v>1067.0</v>
      </c>
      <c r="F33" s="30">
        <v>967.193</v>
      </c>
      <c r="G33" s="31">
        <f t="shared" si="3"/>
        <v>128866.925</v>
      </c>
      <c r="H33" s="31">
        <f t="shared" si="4"/>
        <v>116812.7346</v>
      </c>
      <c r="I33" s="31">
        <f t="shared" si="5"/>
        <v>-12054.19043</v>
      </c>
      <c r="J33" s="32">
        <f t="shared" si="6"/>
        <v>-0.0935398313</v>
      </c>
      <c r="K33" s="36" t="s">
        <v>115</v>
      </c>
    </row>
    <row r="34">
      <c r="A34" s="66" t="s">
        <v>83</v>
      </c>
      <c r="B34" s="28" t="s">
        <v>6</v>
      </c>
      <c r="C34" s="44">
        <v>93074.373</v>
      </c>
      <c r="D34" s="32">
        <f t="shared" si="2"/>
        <v>0.05857361758</v>
      </c>
      <c r="E34" s="30">
        <v>5.34195</v>
      </c>
      <c r="F34" s="30">
        <v>5.7232</v>
      </c>
      <c r="G34" s="31">
        <f t="shared" si="3"/>
        <v>497198.6468</v>
      </c>
      <c r="H34" s="31">
        <f t="shared" si="4"/>
        <v>532683.2516</v>
      </c>
      <c r="I34" s="31">
        <f t="shared" si="5"/>
        <v>35484.60471</v>
      </c>
      <c r="J34" s="32">
        <f t="shared" si="6"/>
        <v>0.07136906935</v>
      </c>
      <c r="K34" s="36" t="s">
        <v>115</v>
      </c>
    </row>
    <row r="35">
      <c r="A35" s="36" t="s">
        <v>84</v>
      </c>
      <c r="B35" s="28" t="s">
        <v>6</v>
      </c>
      <c r="C35" s="44">
        <v>13039.771086</v>
      </c>
      <c r="D35" s="32">
        <f t="shared" si="2"/>
        <v>0.1234234447</v>
      </c>
      <c r="E35" s="30">
        <v>80.36389159475553</v>
      </c>
      <c r="F35" s="30">
        <v>86.0785</v>
      </c>
      <c r="G35" s="31">
        <f t="shared" si="3"/>
        <v>1047926.75</v>
      </c>
      <c r="H35" s="31">
        <f t="shared" si="4"/>
        <v>1122443.935</v>
      </c>
      <c r="I35" s="31">
        <f t="shared" si="5"/>
        <v>74517.18545</v>
      </c>
      <c r="J35" s="32">
        <f t="shared" si="6"/>
        <v>0.07110915477</v>
      </c>
      <c r="K35" s="36" t="s">
        <v>115</v>
      </c>
    </row>
    <row r="36">
      <c r="A36" s="36" t="s">
        <v>87</v>
      </c>
      <c r="B36" s="28" t="s">
        <v>6</v>
      </c>
      <c r="C36" s="44">
        <v>2374.82</v>
      </c>
      <c r="D36" s="32">
        <f t="shared" si="2"/>
        <v>0.1174692124</v>
      </c>
      <c r="E36" s="30">
        <v>421.085741</v>
      </c>
      <c r="F36" s="30">
        <v>449.842365</v>
      </c>
      <c r="G36" s="31">
        <f t="shared" si="3"/>
        <v>1000002.839</v>
      </c>
      <c r="H36" s="31">
        <f t="shared" si="4"/>
        <v>1068294.645</v>
      </c>
      <c r="I36" s="31">
        <f t="shared" si="5"/>
        <v>68291.80581</v>
      </c>
      <c r="J36" s="32">
        <f t="shared" si="6"/>
        <v>0.0682916119</v>
      </c>
      <c r="K36" s="36" t="s">
        <v>117</v>
      </c>
    </row>
    <row r="37">
      <c r="A37" s="36" t="s">
        <v>86</v>
      </c>
      <c r="B37" s="28" t="s">
        <v>6</v>
      </c>
      <c r="C37" s="44">
        <v>9615.98</v>
      </c>
      <c r="D37" s="32">
        <f t="shared" si="2"/>
        <v>0.1176436571</v>
      </c>
      <c r="E37" s="30">
        <v>103.993638</v>
      </c>
      <c r="F37" s="30">
        <v>111.260744</v>
      </c>
      <c r="G37" s="31">
        <f t="shared" si="3"/>
        <v>1000000.743</v>
      </c>
      <c r="H37" s="31">
        <f t="shared" si="4"/>
        <v>1069881.089</v>
      </c>
      <c r="I37" s="31">
        <f t="shared" si="5"/>
        <v>69880.34595</v>
      </c>
      <c r="J37" s="32">
        <f t="shared" si="6"/>
        <v>0.06988029402</v>
      </c>
      <c r="K37" s="36" t="s">
        <v>117</v>
      </c>
    </row>
    <row r="38">
      <c r="A38" s="36" t="s">
        <v>85</v>
      </c>
      <c r="B38" s="28" t="s">
        <v>6</v>
      </c>
      <c r="C38" s="44">
        <v>15844.09</v>
      </c>
      <c r="D38" s="32">
        <f t="shared" si="2"/>
        <v>0.1095501153</v>
      </c>
      <c r="E38" s="30">
        <v>60.20324452696116</v>
      </c>
      <c r="F38" s="30">
        <v>62.88</v>
      </c>
      <c r="G38" s="31">
        <f t="shared" si="3"/>
        <v>953865.6246</v>
      </c>
      <c r="H38" s="31">
        <f t="shared" si="4"/>
        <v>996276.3792</v>
      </c>
      <c r="I38" s="31">
        <f t="shared" si="5"/>
        <v>42410.75462</v>
      </c>
      <c r="J38" s="32">
        <f t="shared" si="6"/>
        <v>0.04446198031</v>
      </c>
      <c r="K38" s="36" t="s">
        <v>117</v>
      </c>
    </row>
    <row r="39">
      <c r="A39" s="36" t="s">
        <v>96</v>
      </c>
      <c r="B39" s="28" t="s">
        <v>7</v>
      </c>
      <c r="C39" s="44">
        <v>795920.0</v>
      </c>
      <c r="D39" s="32">
        <f t="shared" si="2"/>
        <v>0.1361962166</v>
      </c>
      <c r="E39" s="30">
        <v>1.47</v>
      </c>
      <c r="F39" s="30">
        <v>1.55619</v>
      </c>
      <c r="G39" s="31">
        <f t="shared" si="3"/>
        <v>1170002.4</v>
      </c>
      <c r="H39" s="31">
        <f t="shared" si="4"/>
        <v>1238602.745</v>
      </c>
      <c r="I39" s="31">
        <f t="shared" si="5"/>
        <v>68600.3448</v>
      </c>
      <c r="J39" s="32">
        <f t="shared" si="6"/>
        <v>0.05863265306</v>
      </c>
      <c r="K39" s="36" t="s">
        <v>115</v>
      </c>
    </row>
    <row r="40">
      <c r="A40" s="36" t="s">
        <v>97</v>
      </c>
      <c r="B40" s="28" t="s">
        <v>7</v>
      </c>
      <c r="C40" s="44">
        <v>697617.0</v>
      </c>
      <c r="D40" s="32">
        <f t="shared" si="2"/>
        <v>0.1216385086</v>
      </c>
      <c r="E40" s="30">
        <v>1.5099999999999998</v>
      </c>
      <c r="F40" s="30">
        <v>1.5857</v>
      </c>
      <c r="G40" s="31">
        <f t="shared" si="3"/>
        <v>1053401.67</v>
      </c>
      <c r="H40" s="31">
        <f t="shared" si="4"/>
        <v>1106211.277</v>
      </c>
      <c r="I40" s="31">
        <f t="shared" si="5"/>
        <v>52809.6069</v>
      </c>
      <c r="J40" s="32">
        <f t="shared" si="6"/>
        <v>0.05013245033</v>
      </c>
      <c r="K40" s="36" t="s">
        <v>115</v>
      </c>
    </row>
    <row r="41">
      <c r="A41" s="36" t="s">
        <v>77</v>
      </c>
      <c r="B41" s="28" t="s">
        <v>8</v>
      </c>
      <c r="C41" s="67">
        <v>1.0</v>
      </c>
      <c r="D41" s="32">
        <f t="shared" si="2"/>
        <v>0.003456029066</v>
      </c>
      <c r="E41" s="30">
        <v>22000.0</v>
      </c>
      <c r="F41" s="30">
        <v>31430.0</v>
      </c>
      <c r="G41" s="31">
        <f t="shared" si="3"/>
        <v>22000</v>
      </c>
      <c r="H41" s="31">
        <f t="shared" si="4"/>
        <v>31430</v>
      </c>
      <c r="I41" s="31">
        <f t="shared" si="5"/>
        <v>9430</v>
      </c>
      <c r="J41" s="32">
        <f t="shared" si="6"/>
        <v>0.4286363636</v>
      </c>
      <c r="K41" s="36" t="s">
        <v>116</v>
      </c>
    </row>
    <row r="42">
      <c r="A42" s="16"/>
      <c r="B42" s="68"/>
      <c r="C42" s="69"/>
      <c r="D42" s="70"/>
      <c r="E42" s="70"/>
      <c r="F42" s="71"/>
      <c r="G42" s="71"/>
      <c r="H42" s="71"/>
      <c r="I42" s="69"/>
      <c r="J42" s="16"/>
    </row>
    <row r="43">
      <c r="A43" s="16"/>
      <c r="B43" s="68"/>
      <c r="C43" s="69"/>
      <c r="D43" s="70"/>
      <c r="E43" s="70"/>
      <c r="F43" s="71"/>
      <c r="G43" s="71"/>
      <c r="H43" s="71"/>
      <c r="I43" s="69"/>
      <c r="J43" s="16"/>
    </row>
  </sheetData>
  <conditionalFormatting sqref="C2:D2 I5:J999 P5:P9 H42:H44">
    <cfRule type="cellIs" dxfId="0" priority="1" operator="greaterThan">
      <formula>0</formula>
    </cfRule>
  </conditionalFormatting>
  <conditionalFormatting sqref="C2:D2 I5:J999 P5:P9 H42:H44">
    <cfRule type="cellIs" dxfId="1" priority="2" operator="lessThan">
      <formula>0</formula>
    </cfRule>
  </conditionalFormatting>
  <conditionalFormatting sqref="C2:D2 I5:J999 P5:P9 H42:H44">
    <cfRule type="cellIs" dxfId="3" priority="3" operator="equal">
      <formula>0</formula>
    </cfRule>
  </conditionalFormatting>
  <conditionalFormatting sqref="C2:C42 B42:B44 C44:C999">
    <cfRule type="cellIs" dxfId="2" priority="4" operator="equal">
      <formula>0</formula>
    </cfRule>
  </conditionalFormatting>
  <dataValidations>
    <dataValidation type="list" allowBlank="1" sqref="B5:B25">
      <formula1>"Acciones,Cedear,Opciones,Opc Negociables,Bonos,FCI,FCI/Jardin,FCI/Cobertura,Letras"</formula1>
    </dataValidation>
    <dataValidation type="list" allowBlank="1" showErrorMessage="1" sqref="K5:K41 J42:J43">
      <formula1>"Eco,Ppi,Binance,Galicia"</formula1>
    </dataValidation>
    <dataValidation type="list" allowBlank="1" sqref="B26:B41">
      <formula1>"Acciones,Cedear,Opc/Futuros,ON,Bonos,FCI,Letras,Cripto"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6.25"/>
    <col customWidth="1" min="4" max="4" width="13.75"/>
    <col customWidth="1" min="5" max="5" width="20.0"/>
    <col customWidth="1" min="6" max="6" width="20.63"/>
    <col customWidth="1" min="7" max="7" width="18.25"/>
    <col customWidth="1" min="8" max="8" width="14.75"/>
    <col customWidth="1" min="9" max="9" width="15.25"/>
    <col customWidth="1" min="10" max="10" width="16.25"/>
    <col customWidth="1" min="11" max="11" width="13.88"/>
    <col customWidth="1" min="13" max="13" width="14.5"/>
    <col customWidth="1" min="16" max="16" width="14.0"/>
  </cols>
  <sheetData>
    <row r="1">
      <c r="A1" s="54" t="s">
        <v>101</v>
      </c>
      <c r="C1" s="55" t="s">
        <v>40</v>
      </c>
      <c r="D1" s="55" t="s">
        <v>41</v>
      </c>
      <c r="E1" s="55" t="s">
        <v>102</v>
      </c>
      <c r="F1" s="55" t="s">
        <v>103</v>
      </c>
      <c r="G1" s="26" t="s">
        <v>9</v>
      </c>
      <c r="H1" s="55" t="s">
        <v>104</v>
      </c>
      <c r="I1" s="55" t="s">
        <v>105</v>
      </c>
      <c r="M1" s="56" t="s">
        <v>1</v>
      </c>
      <c r="N1" s="9">
        <v>0.0</v>
      </c>
    </row>
    <row r="2">
      <c r="C2" s="31">
        <v>853839.3221317535</v>
      </c>
      <c r="D2" s="32">
        <v>0.07829880100923714</v>
      </c>
      <c r="E2" s="31">
        <v>1.090488374184712E7</v>
      </c>
      <c r="F2" s="57">
        <v>1.1758723063978873E7</v>
      </c>
      <c r="G2" s="52">
        <v>217000.0</v>
      </c>
      <c r="H2" s="57">
        <v>1.112188374184712E7</v>
      </c>
      <c r="I2" s="57">
        <v>1.1975723063978873E7</v>
      </c>
      <c r="M2" s="58" t="s">
        <v>2</v>
      </c>
      <c r="N2" s="9">
        <v>414838.0</v>
      </c>
    </row>
    <row r="3">
      <c r="J3" s="59"/>
      <c r="M3" s="56" t="s">
        <v>3</v>
      </c>
      <c r="N3" s="9">
        <v>54780.0</v>
      </c>
    </row>
    <row r="4">
      <c r="A4" s="26" t="s">
        <v>32</v>
      </c>
      <c r="B4" s="26" t="s">
        <v>34</v>
      </c>
      <c r="C4" s="26" t="s">
        <v>106</v>
      </c>
      <c r="D4" s="26" t="s">
        <v>107</v>
      </c>
      <c r="E4" s="26" t="s">
        <v>108</v>
      </c>
      <c r="F4" s="26" t="s">
        <v>109</v>
      </c>
      <c r="G4" s="26" t="s">
        <v>110</v>
      </c>
      <c r="H4" s="26" t="s">
        <v>111</v>
      </c>
      <c r="I4" s="26" t="s">
        <v>40</v>
      </c>
      <c r="J4" s="26" t="s">
        <v>41</v>
      </c>
      <c r="K4" s="26" t="s">
        <v>112</v>
      </c>
      <c r="L4" s="27"/>
      <c r="M4" s="58" t="s">
        <v>4</v>
      </c>
      <c r="N4" s="9">
        <v>574225.0</v>
      </c>
      <c r="O4" s="27"/>
      <c r="P4" s="26" t="s">
        <v>118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9" t="s">
        <v>44</v>
      </c>
      <c r="B5" s="28" t="s">
        <v>2</v>
      </c>
      <c r="C5" s="44">
        <v>15.0</v>
      </c>
      <c r="D5" s="32">
        <v>9.554608896621418E-4</v>
      </c>
      <c r="E5" s="30">
        <v>984.0</v>
      </c>
      <c r="F5" s="30">
        <v>749.0</v>
      </c>
      <c r="G5" s="31">
        <v>14760.0</v>
      </c>
      <c r="H5" s="31">
        <v>11235.0</v>
      </c>
      <c r="I5" s="31">
        <v>-3525.0</v>
      </c>
      <c r="J5" s="32">
        <v>-0.23882113821138212</v>
      </c>
      <c r="K5" s="36" t="s">
        <v>114</v>
      </c>
      <c r="M5" s="56" t="s">
        <v>5</v>
      </c>
      <c r="N5" s="9">
        <v>396699.0</v>
      </c>
      <c r="P5" s="60">
        <v>-120.0</v>
      </c>
    </row>
    <row r="6">
      <c r="A6" s="33" t="s">
        <v>46</v>
      </c>
      <c r="B6" s="28" t="s">
        <v>2</v>
      </c>
      <c r="C6" s="44">
        <v>30.0</v>
      </c>
      <c r="D6" s="32">
        <v>5.153620820073501E-4</v>
      </c>
      <c r="E6" s="30">
        <v>371.26666666666665</v>
      </c>
      <c r="F6" s="30">
        <v>202.0</v>
      </c>
      <c r="G6" s="31">
        <v>11138.0</v>
      </c>
      <c r="H6" s="31">
        <v>6060.0</v>
      </c>
      <c r="I6" s="31">
        <v>-5078.0</v>
      </c>
      <c r="J6" s="32">
        <v>-0.4559166816304543</v>
      </c>
      <c r="K6" s="36" t="s">
        <v>114</v>
      </c>
      <c r="M6" s="56" t="s">
        <v>6</v>
      </c>
      <c r="N6" s="9">
        <v>6911392.878378876</v>
      </c>
      <c r="P6" s="60">
        <v>-270.0</v>
      </c>
    </row>
    <row r="7">
      <c r="A7" s="33" t="s">
        <v>47</v>
      </c>
      <c r="B7" s="28" t="s">
        <v>2</v>
      </c>
      <c r="C7" s="44">
        <v>20.0</v>
      </c>
      <c r="D7" s="32">
        <v>0.002797922854462347</v>
      </c>
      <c r="E7" s="30">
        <v>1740.0</v>
      </c>
      <c r="F7" s="30">
        <v>1645.0</v>
      </c>
      <c r="G7" s="31">
        <v>34800.0</v>
      </c>
      <c r="H7" s="31">
        <v>32900.0</v>
      </c>
      <c r="I7" s="31">
        <v>-1900.0</v>
      </c>
      <c r="J7" s="32">
        <v>-0.05459770114942529</v>
      </c>
      <c r="K7" s="36" t="s">
        <v>114</v>
      </c>
      <c r="M7" s="61" t="s">
        <v>7</v>
      </c>
      <c r="N7" s="9">
        <v>3375673.6656</v>
      </c>
      <c r="P7" s="60">
        <v>2900.0</v>
      </c>
    </row>
    <row r="8">
      <c r="A8" s="33" t="s">
        <v>48</v>
      </c>
      <c r="B8" s="28" t="s">
        <v>2</v>
      </c>
      <c r="C8" s="44">
        <v>46.0</v>
      </c>
      <c r="D8" s="32">
        <v>4.968226539747425E-4</v>
      </c>
      <c r="E8" s="30">
        <v>232.2336956521739</v>
      </c>
      <c r="F8" s="30">
        <v>127.0</v>
      </c>
      <c r="G8" s="31">
        <v>10682.75</v>
      </c>
      <c r="H8" s="31">
        <v>5842.0</v>
      </c>
      <c r="I8" s="31">
        <v>-4840.75</v>
      </c>
      <c r="J8" s="32">
        <v>-0.4531370667665161</v>
      </c>
      <c r="K8" s="36" t="s">
        <v>114</v>
      </c>
      <c r="M8" s="61" t="s">
        <v>8</v>
      </c>
      <c r="N8" s="9">
        <v>31114.52</v>
      </c>
      <c r="P8" s="60">
        <v>-782.0</v>
      </c>
    </row>
    <row r="9">
      <c r="A9" s="33" t="s">
        <v>49</v>
      </c>
      <c r="B9" s="28" t="s">
        <v>2</v>
      </c>
      <c r="C9" s="44">
        <v>25.0</v>
      </c>
      <c r="D9" s="32">
        <v>0.00420964076887192</v>
      </c>
      <c r="E9" s="30">
        <v>1270.6</v>
      </c>
      <c r="F9" s="30">
        <v>1980.0</v>
      </c>
      <c r="G9" s="31">
        <v>31764.999999999996</v>
      </c>
      <c r="H9" s="31">
        <v>49500.0</v>
      </c>
      <c r="I9" s="31">
        <v>17735.000000000004</v>
      </c>
      <c r="J9" s="32">
        <v>0.5583189044545885</v>
      </c>
      <c r="K9" s="36" t="s">
        <v>114</v>
      </c>
      <c r="M9" s="62" t="s">
        <v>9</v>
      </c>
      <c r="N9" s="63">
        <v>107420.0</v>
      </c>
      <c r="P9" s="60">
        <v>9500.0</v>
      </c>
    </row>
    <row r="10">
      <c r="A10" s="33" t="s">
        <v>50</v>
      </c>
      <c r="B10" s="28" t="s">
        <v>2</v>
      </c>
      <c r="C10" s="44">
        <v>100.0</v>
      </c>
      <c r="D10" s="32">
        <v>0.0018794557776175642</v>
      </c>
      <c r="E10" s="30">
        <v>394.0</v>
      </c>
      <c r="F10" s="30">
        <v>221.0</v>
      </c>
      <c r="G10" s="31">
        <v>39400.0</v>
      </c>
      <c r="H10" s="31">
        <v>22100.0</v>
      </c>
      <c r="I10" s="31">
        <v>-17300.0</v>
      </c>
      <c r="J10" s="32">
        <v>-0.43908629441624364</v>
      </c>
      <c r="K10" s="36" t="s">
        <v>114</v>
      </c>
      <c r="M10" s="64" t="s">
        <v>10</v>
      </c>
      <c r="N10" s="65">
        <v>1.1866143063978875E7</v>
      </c>
    </row>
    <row r="11">
      <c r="A11" s="33" t="s">
        <v>51</v>
      </c>
      <c r="B11" s="28" t="s">
        <v>2</v>
      </c>
      <c r="C11" s="44">
        <v>20.0</v>
      </c>
      <c r="D11" s="32">
        <v>0.006965041999406267</v>
      </c>
      <c r="E11" s="30">
        <v>4200.0</v>
      </c>
      <c r="F11" s="30">
        <v>4095.0</v>
      </c>
      <c r="G11" s="31">
        <v>84000.0</v>
      </c>
      <c r="H11" s="31">
        <v>81900.0</v>
      </c>
      <c r="I11" s="31">
        <v>-2100.0</v>
      </c>
      <c r="J11" s="32">
        <v>-0.025</v>
      </c>
      <c r="K11" s="36" t="s">
        <v>114</v>
      </c>
    </row>
    <row r="12">
      <c r="A12" s="33" t="s">
        <v>52</v>
      </c>
      <c r="B12" s="28" t="s">
        <v>2</v>
      </c>
      <c r="C12" s="44">
        <v>7660.0</v>
      </c>
      <c r="D12" s="32">
        <v>0.016188067272637146</v>
      </c>
      <c r="E12" s="30">
        <v>40.0</v>
      </c>
      <c r="F12" s="30">
        <v>24.85</v>
      </c>
      <c r="G12" s="31">
        <v>306400.0</v>
      </c>
      <c r="H12" s="31">
        <v>190351.0</v>
      </c>
      <c r="I12" s="31">
        <v>-116049.0</v>
      </c>
      <c r="J12" s="32">
        <v>-0.37875</v>
      </c>
      <c r="K12" s="36" t="s">
        <v>114</v>
      </c>
      <c r="M12" s="61" t="s">
        <v>114</v>
      </c>
      <c r="N12" s="9">
        <v>1081875.0</v>
      </c>
    </row>
    <row r="13">
      <c r="A13" s="38" t="s">
        <v>54</v>
      </c>
      <c r="B13" s="28" t="s">
        <v>2</v>
      </c>
      <c r="C13" s="44">
        <v>23.0</v>
      </c>
      <c r="D13" s="32">
        <v>0.0012713965554471758</v>
      </c>
      <c r="E13" s="30">
        <v>963.0</v>
      </c>
      <c r="F13" s="30">
        <v>650.0</v>
      </c>
      <c r="G13" s="31">
        <v>22149.0</v>
      </c>
      <c r="H13" s="31">
        <v>14950.0</v>
      </c>
      <c r="I13" s="31">
        <v>-7199.0</v>
      </c>
      <c r="J13" s="32">
        <v>-0.32502596053997923</v>
      </c>
      <c r="K13" s="36" t="s">
        <v>114</v>
      </c>
      <c r="M13" s="61" t="s">
        <v>115</v>
      </c>
      <c r="N13" s="9">
        <v>7379592.511005554</v>
      </c>
    </row>
    <row r="14">
      <c r="A14" s="38" t="s">
        <v>58</v>
      </c>
      <c r="B14" s="28" t="s">
        <v>4</v>
      </c>
      <c r="C14" s="44">
        <v>45.0</v>
      </c>
      <c r="D14" s="32">
        <v>0.0077112964993426535</v>
      </c>
      <c r="E14" s="30">
        <v>1895.0</v>
      </c>
      <c r="F14" s="30">
        <v>2015.0</v>
      </c>
      <c r="G14" s="31">
        <v>85275.0</v>
      </c>
      <c r="H14" s="31">
        <v>90675.0</v>
      </c>
      <c r="I14" s="31">
        <v>5400.0</v>
      </c>
      <c r="J14" s="32">
        <v>0.0633245382585752</v>
      </c>
      <c r="K14" s="36" t="s">
        <v>114</v>
      </c>
      <c r="M14" s="61" t="s">
        <v>116</v>
      </c>
      <c r="N14" s="9">
        <v>31114.52</v>
      </c>
    </row>
    <row r="15">
      <c r="A15" s="35" t="s">
        <v>59</v>
      </c>
      <c r="B15" s="28" t="s">
        <v>4</v>
      </c>
      <c r="C15" s="44">
        <v>1.0</v>
      </c>
      <c r="D15" s="32">
        <v>0.0015095176494439712</v>
      </c>
      <c r="E15" s="30">
        <v>11400.0</v>
      </c>
      <c r="F15" s="30">
        <v>17750.0</v>
      </c>
      <c r="G15" s="31">
        <v>11400.0</v>
      </c>
      <c r="H15" s="31">
        <v>17750.0</v>
      </c>
      <c r="I15" s="31">
        <v>6350.0</v>
      </c>
      <c r="J15" s="32">
        <v>0.5570175438596491</v>
      </c>
      <c r="K15" s="36" t="s">
        <v>114</v>
      </c>
      <c r="M15" s="61" t="s">
        <v>117</v>
      </c>
      <c r="N15" s="9">
        <v>3266141.03297332</v>
      </c>
    </row>
    <row r="16">
      <c r="A16" s="35" t="s">
        <v>60</v>
      </c>
      <c r="B16" s="28" t="s">
        <v>4</v>
      </c>
      <c r="C16" s="44">
        <v>5.0</v>
      </c>
      <c r="D16" s="32">
        <v>0.005262050961089899</v>
      </c>
      <c r="E16" s="30">
        <v>7400.0</v>
      </c>
      <c r="F16" s="30">
        <v>12375.0</v>
      </c>
      <c r="G16" s="31">
        <v>37000.0</v>
      </c>
      <c r="H16" s="31">
        <v>61875.0</v>
      </c>
      <c r="I16" s="31">
        <v>24875.0</v>
      </c>
      <c r="J16" s="32">
        <v>0.6722972972972973</v>
      </c>
      <c r="K16" s="36" t="s">
        <v>114</v>
      </c>
      <c r="M16" s="64" t="s">
        <v>9</v>
      </c>
      <c r="N16" s="63">
        <v>107420.0</v>
      </c>
    </row>
    <row r="17">
      <c r="A17" s="35" t="s">
        <v>61</v>
      </c>
      <c r="B17" s="28" t="s">
        <v>4</v>
      </c>
      <c r="C17" s="44">
        <v>5.0</v>
      </c>
      <c r="D17" s="32">
        <v>0.0032273912561351383</v>
      </c>
      <c r="E17" s="30">
        <v>5970.0</v>
      </c>
      <c r="F17" s="30">
        <v>7590.0</v>
      </c>
      <c r="G17" s="31">
        <v>29850.0</v>
      </c>
      <c r="H17" s="31">
        <v>37950.0</v>
      </c>
      <c r="I17" s="31">
        <v>8100.0</v>
      </c>
      <c r="J17" s="32">
        <v>0.271356783919598</v>
      </c>
      <c r="K17" s="36" t="s">
        <v>114</v>
      </c>
      <c r="M17" s="64" t="s">
        <v>10</v>
      </c>
      <c r="N17" s="65">
        <v>1.1866143063978873E7</v>
      </c>
    </row>
    <row r="18">
      <c r="A18" s="38" t="s">
        <v>62</v>
      </c>
      <c r="B18" s="28" t="s">
        <v>4</v>
      </c>
      <c r="C18" s="44">
        <v>25.0</v>
      </c>
      <c r="D18" s="32">
        <v>0.009684299849601815</v>
      </c>
      <c r="E18" s="30">
        <v>3995.0</v>
      </c>
      <c r="F18" s="30">
        <v>4555.0</v>
      </c>
      <c r="G18" s="31">
        <v>99875.0</v>
      </c>
      <c r="H18" s="31">
        <v>113875.0</v>
      </c>
      <c r="I18" s="31">
        <v>14000.0</v>
      </c>
      <c r="J18" s="32">
        <v>0.14017521902377972</v>
      </c>
      <c r="K18" s="36" t="s">
        <v>114</v>
      </c>
    </row>
    <row r="19">
      <c r="A19" s="37" t="s">
        <v>63</v>
      </c>
      <c r="B19" s="28" t="s">
        <v>4</v>
      </c>
      <c r="C19" s="44">
        <v>1.0</v>
      </c>
      <c r="D19" s="32">
        <v>0.001941112132313163</v>
      </c>
      <c r="E19" s="30">
        <v>17850.0</v>
      </c>
      <c r="F19" s="30">
        <v>22825.0</v>
      </c>
      <c r="G19" s="31">
        <v>17850.0</v>
      </c>
      <c r="H19" s="31">
        <v>22825.0</v>
      </c>
      <c r="I19" s="31">
        <v>4975.0</v>
      </c>
      <c r="J19" s="32">
        <v>0.27871148459383754</v>
      </c>
      <c r="K19" s="36" t="s">
        <v>114</v>
      </c>
    </row>
    <row r="20">
      <c r="A20" s="39" t="s">
        <v>64</v>
      </c>
      <c r="B20" s="28" t="s">
        <v>4</v>
      </c>
      <c r="C20" s="44">
        <v>1.0</v>
      </c>
      <c r="D20" s="32">
        <v>0.0015924348161035697</v>
      </c>
      <c r="E20" s="30">
        <v>15000.0</v>
      </c>
      <c r="F20" s="30">
        <v>18725.0</v>
      </c>
      <c r="G20" s="31">
        <v>15000.0</v>
      </c>
      <c r="H20" s="31">
        <v>18725.0</v>
      </c>
      <c r="I20" s="31">
        <v>3725.0</v>
      </c>
      <c r="J20" s="32">
        <v>0.24833333333333332</v>
      </c>
      <c r="K20" s="36" t="s">
        <v>114</v>
      </c>
    </row>
    <row r="21">
      <c r="A21" s="37" t="s">
        <v>65</v>
      </c>
      <c r="B21" s="28" t="s">
        <v>4</v>
      </c>
      <c r="C21" s="44">
        <v>9.0</v>
      </c>
      <c r="D21" s="32">
        <v>0.0027707090151484273</v>
      </c>
      <c r="E21" s="30">
        <v>3655.0</v>
      </c>
      <c r="F21" s="30">
        <v>3620.0</v>
      </c>
      <c r="G21" s="31">
        <v>32895.0</v>
      </c>
      <c r="H21" s="31">
        <v>32580.0</v>
      </c>
      <c r="I21" s="31">
        <v>-315.0</v>
      </c>
      <c r="J21" s="32">
        <v>-0.009575923392612859</v>
      </c>
      <c r="K21" s="36" t="s">
        <v>114</v>
      </c>
    </row>
    <row r="22">
      <c r="A22" s="39" t="s">
        <v>66</v>
      </c>
      <c r="B22" s="28" t="s">
        <v>4</v>
      </c>
      <c r="C22" s="44">
        <v>1.0</v>
      </c>
      <c r="D22" s="32">
        <v>0.0020729291664899605</v>
      </c>
      <c r="E22" s="30">
        <v>17775.0</v>
      </c>
      <c r="F22" s="30">
        <v>24375.0</v>
      </c>
      <c r="G22" s="31">
        <v>17775.0</v>
      </c>
      <c r="H22" s="31">
        <v>24375.0</v>
      </c>
      <c r="I22" s="31">
        <v>6600.0</v>
      </c>
      <c r="J22" s="32">
        <v>0.37130801687763715</v>
      </c>
      <c r="K22" s="36" t="s">
        <v>114</v>
      </c>
    </row>
    <row r="23">
      <c r="A23" s="35" t="s">
        <v>67</v>
      </c>
      <c r="B23" s="28" t="s">
        <v>4</v>
      </c>
      <c r="C23" s="44">
        <v>1.0</v>
      </c>
      <c r="D23" s="32">
        <v>6.82046847805107E-4</v>
      </c>
      <c r="E23" s="30">
        <v>7790.0</v>
      </c>
      <c r="F23" s="30">
        <v>8020.0</v>
      </c>
      <c r="G23" s="31">
        <v>7790.0</v>
      </c>
      <c r="H23" s="31">
        <v>8020.0</v>
      </c>
      <c r="I23" s="31">
        <v>230.0</v>
      </c>
      <c r="J23" s="32">
        <v>0.029525032092426188</v>
      </c>
      <c r="K23" s="36" t="s">
        <v>114</v>
      </c>
    </row>
    <row r="24">
      <c r="A24" s="38" t="s">
        <v>68</v>
      </c>
      <c r="B24" s="28" t="s">
        <v>4</v>
      </c>
      <c r="C24" s="44">
        <v>2.0</v>
      </c>
      <c r="D24" s="32">
        <v>0.007296710666044661</v>
      </c>
      <c r="E24" s="30">
        <v>35825.0</v>
      </c>
      <c r="F24" s="30">
        <v>42900.0</v>
      </c>
      <c r="G24" s="31">
        <v>71650.0</v>
      </c>
      <c r="H24" s="31">
        <v>85800.0</v>
      </c>
      <c r="I24" s="31">
        <v>14150.0</v>
      </c>
      <c r="J24" s="32">
        <v>0.19748778785764132</v>
      </c>
      <c r="K24" s="36" t="s">
        <v>114</v>
      </c>
    </row>
    <row r="25">
      <c r="A25" s="35" t="s">
        <v>70</v>
      </c>
      <c r="B25" s="28" t="s">
        <v>4</v>
      </c>
      <c r="C25" s="44">
        <v>3.0</v>
      </c>
      <c r="D25" s="32">
        <v>0.005083460140592303</v>
      </c>
      <c r="E25" s="30">
        <v>21041.666666666668</v>
      </c>
      <c r="F25" s="30">
        <v>19925.0</v>
      </c>
      <c r="G25" s="31">
        <v>63125.0</v>
      </c>
      <c r="H25" s="31">
        <v>59775.0</v>
      </c>
      <c r="I25" s="31">
        <v>-3350.0</v>
      </c>
      <c r="J25" s="32">
        <v>-0.05306930693069307</v>
      </c>
      <c r="K25" s="36" t="s">
        <v>114</v>
      </c>
    </row>
    <row r="26">
      <c r="A26" s="36" t="s">
        <v>55</v>
      </c>
      <c r="B26" s="28" t="s">
        <v>3</v>
      </c>
      <c r="C26" s="44">
        <v>60.0</v>
      </c>
      <c r="D26" s="32">
        <v>0.0046586691175515916</v>
      </c>
      <c r="E26" s="30">
        <v>740.0</v>
      </c>
      <c r="F26" s="30">
        <v>913.0</v>
      </c>
      <c r="G26" s="31">
        <v>44400.0</v>
      </c>
      <c r="H26" s="31">
        <v>54780.0</v>
      </c>
      <c r="I26" s="31">
        <v>10380.0</v>
      </c>
      <c r="J26" s="32">
        <v>0.23378378378378378</v>
      </c>
      <c r="K26" s="36" t="s">
        <v>114</v>
      </c>
    </row>
    <row r="27">
      <c r="A27" s="36" t="s">
        <v>80</v>
      </c>
      <c r="B27" s="28" t="s">
        <v>5</v>
      </c>
      <c r="C27" s="44">
        <v>12.0</v>
      </c>
      <c r="D27" s="32">
        <v>7.623276737811695E-4</v>
      </c>
      <c r="E27" s="30">
        <v>1169.0</v>
      </c>
      <c r="F27" s="30">
        <v>747.0</v>
      </c>
      <c r="G27" s="31">
        <v>14028.0</v>
      </c>
      <c r="H27" s="31">
        <v>8964.0</v>
      </c>
      <c r="I27" s="31">
        <v>-5064.0</v>
      </c>
      <c r="J27" s="32">
        <v>-0.3609923011120616</v>
      </c>
      <c r="K27" s="36" t="s">
        <v>114</v>
      </c>
    </row>
    <row r="28">
      <c r="A28" s="36" t="s">
        <v>71</v>
      </c>
      <c r="B28" s="28" t="s">
        <v>5</v>
      </c>
      <c r="C28" s="44">
        <v>26.0</v>
      </c>
      <c r="D28" s="32">
        <v>0.002472037128678161</v>
      </c>
      <c r="E28" s="30">
        <v>1220.9615384615386</v>
      </c>
      <c r="F28" s="30">
        <v>1118.0</v>
      </c>
      <c r="G28" s="31">
        <v>31745.000000000004</v>
      </c>
      <c r="H28" s="31">
        <v>29068.0</v>
      </c>
      <c r="I28" s="31">
        <v>-2677.0000000000036</v>
      </c>
      <c r="J28" s="32">
        <v>-0.08432824066782181</v>
      </c>
      <c r="K28" s="36" t="s">
        <v>114</v>
      </c>
    </row>
    <row r="29">
      <c r="A29" s="41" t="s">
        <v>94</v>
      </c>
      <c r="B29" s="28" t="s">
        <v>5</v>
      </c>
      <c r="C29" s="44">
        <v>98.0</v>
      </c>
      <c r="D29" s="32">
        <v>0.008667607821483354</v>
      </c>
      <c r="E29" s="30">
        <v>1135.0</v>
      </c>
      <c r="F29" s="30">
        <v>1040.0</v>
      </c>
      <c r="G29" s="31">
        <v>111230.0</v>
      </c>
      <c r="H29" s="31">
        <v>101920.0</v>
      </c>
      <c r="I29" s="31">
        <v>-9310.0</v>
      </c>
      <c r="J29" s="32">
        <v>-0.08370044052863436</v>
      </c>
      <c r="K29" s="36" t="s">
        <v>115</v>
      </c>
    </row>
    <row r="30">
      <c r="A30" s="41" t="s">
        <v>92</v>
      </c>
      <c r="B30" s="28" t="s">
        <v>5</v>
      </c>
      <c r="C30" s="44">
        <v>99.0</v>
      </c>
      <c r="D30" s="32">
        <v>0.010616714019094982</v>
      </c>
      <c r="E30" s="30">
        <v>1315.0625</v>
      </c>
      <c r="F30" s="30">
        <v>1261.0</v>
      </c>
      <c r="G30" s="31">
        <v>130191.1875</v>
      </c>
      <c r="H30" s="31">
        <v>124839.0</v>
      </c>
      <c r="I30" s="31">
        <v>-5352.1875</v>
      </c>
      <c r="J30" s="32">
        <v>-0.041110213392899574</v>
      </c>
      <c r="K30" s="36" t="s">
        <v>115</v>
      </c>
    </row>
    <row r="31">
      <c r="A31" s="41" t="s">
        <v>93</v>
      </c>
      <c r="B31" s="28" t="s">
        <v>5</v>
      </c>
      <c r="C31" s="44">
        <v>98.0</v>
      </c>
      <c r="D31" s="32">
        <v>0.011217884738189033</v>
      </c>
      <c r="E31" s="30">
        <v>1197.8</v>
      </c>
      <c r="F31" s="30">
        <v>1346.0</v>
      </c>
      <c r="G31" s="31">
        <v>117384.4</v>
      </c>
      <c r="H31" s="31">
        <v>131908.0</v>
      </c>
      <c r="I31" s="31">
        <v>14523.600000000006</v>
      </c>
      <c r="J31" s="32">
        <v>0.12372683252629826</v>
      </c>
      <c r="K31" s="36" t="s">
        <v>115</v>
      </c>
    </row>
    <row r="32">
      <c r="A32" s="36" t="s">
        <v>90</v>
      </c>
      <c r="B32" s="28" t="s">
        <v>6</v>
      </c>
      <c r="C32" s="44">
        <v>38715.0435</v>
      </c>
      <c r="D32" s="32">
        <v>0.04689934733007849</v>
      </c>
      <c r="E32" s="30">
        <v>12.9</v>
      </c>
      <c r="F32" s="30">
        <v>14.2445</v>
      </c>
      <c r="G32" s="31">
        <v>499424.06115</v>
      </c>
      <c r="H32" s="31">
        <v>551476.43713575</v>
      </c>
      <c r="I32" s="31">
        <v>52052.37598574994</v>
      </c>
      <c r="J32" s="32">
        <v>0.10422480620155027</v>
      </c>
      <c r="K32" s="36" t="s">
        <v>115</v>
      </c>
    </row>
    <row r="33">
      <c r="A33" s="41" t="s">
        <v>72</v>
      </c>
      <c r="B33" s="28" t="s">
        <v>6</v>
      </c>
      <c r="C33" s="44">
        <v>10501.993</v>
      </c>
      <c r="D33" s="32">
        <v>0.10975551186565634</v>
      </c>
      <c r="E33" s="30">
        <v>104.14000000000001</v>
      </c>
      <c r="F33" s="30">
        <v>122.8895</v>
      </c>
      <c r="G33" s="31">
        <v>1093677.5510200001</v>
      </c>
      <c r="H33" s="31">
        <v>1290584.6687735</v>
      </c>
      <c r="I33" s="31">
        <v>196907.1177534999</v>
      </c>
      <c r="J33" s="32">
        <v>0.1800412905703859</v>
      </c>
      <c r="K33" s="36" t="s">
        <v>115</v>
      </c>
    </row>
    <row r="34">
      <c r="A34" s="66" t="s">
        <v>73</v>
      </c>
      <c r="B34" s="28" t="s">
        <v>6</v>
      </c>
      <c r="C34" s="44">
        <v>120.775</v>
      </c>
      <c r="D34" s="32">
        <v>0.010544011611669566</v>
      </c>
      <c r="E34" s="30">
        <v>1067.0</v>
      </c>
      <c r="F34" s="30">
        <v>1026.571</v>
      </c>
      <c r="G34" s="31">
        <v>128866.925</v>
      </c>
      <c r="H34" s="31">
        <v>123984.11252499999</v>
      </c>
      <c r="I34" s="31">
        <v>-4882.812475000013</v>
      </c>
      <c r="J34" s="32">
        <v>-0.03789034676663553</v>
      </c>
      <c r="K34" s="36" t="s">
        <v>115</v>
      </c>
    </row>
    <row r="35">
      <c r="A35" s="66" t="s">
        <v>83</v>
      </c>
      <c r="B35" s="28" t="s">
        <v>6</v>
      </c>
      <c r="C35" s="44">
        <v>93074.373</v>
      </c>
      <c r="D35" s="32">
        <v>0.04565255519617232</v>
      </c>
      <c r="E35" s="30">
        <v>5.34195</v>
      </c>
      <c r="F35" s="30">
        <v>5.7676</v>
      </c>
      <c r="G35" s="31">
        <v>497198.64684735</v>
      </c>
      <c r="H35" s="31">
        <v>536815.7537148</v>
      </c>
      <c r="I35" s="31">
        <v>39617.10686745</v>
      </c>
      <c r="J35" s="32">
        <v>0.07968064096444182</v>
      </c>
      <c r="K35" s="36" t="s">
        <v>115</v>
      </c>
    </row>
    <row r="36">
      <c r="A36" s="36" t="s">
        <v>84</v>
      </c>
      <c r="B36" s="28" t="s">
        <v>6</v>
      </c>
      <c r="C36" s="44">
        <v>13039.771086</v>
      </c>
      <c r="D36" s="32">
        <v>0.0971526301827834</v>
      </c>
      <c r="E36" s="30">
        <v>80.36389159475553</v>
      </c>
      <c r="F36" s="30">
        <v>87.6082</v>
      </c>
      <c r="G36" s="31">
        <v>1047926.7499757316</v>
      </c>
      <c r="H36" s="31">
        <v>1142390.8732565052</v>
      </c>
      <c r="I36" s="31">
        <v>94464.12328077364</v>
      </c>
      <c r="J36" s="32">
        <v>0.0901438228225029</v>
      </c>
      <c r="K36" s="36" t="s">
        <v>115</v>
      </c>
    </row>
    <row r="37">
      <c r="A37" s="36" t="s">
        <v>87</v>
      </c>
      <c r="B37" s="28" t="s">
        <v>6</v>
      </c>
      <c r="C37" s="44">
        <v>2374.82</v>
      </c>
      <c r="D37" s="32">
        <v>0.09524000914250737</v>
      </c>
      <c r="E37" s="30">
        <v>421.085741</v>
      </c>
      <c r="F37" s="30">
        <v>471.572958</v>
      </c>
      <c r="G37" s="31">
        <v>1000002.83944162</v>
      </c>
      <c r="H37" s="31">
        <v>1119900.8921175601</v>
      </c>
      <c r="I37" s="31">
        <v>119898.0526759401</v>
      </c>
      <c r="J37" s="32">
        <v>0.11989771223338583</v>
      </c>
      <c r="K37" s="36" t="s">
        <v>117</v>
      </c>
    </row>
    <row r="38">
      <c r="A38" s="36" t="s">
        <v>86</v>
      </c>
      <c r="B38" s="28" t="s">
        <v>6</v>
      </c>
      <c r="C38" s="44">
        <v>9615.98</v>
      </c>
      <c r="D38" s="32">
        <v>0.09411587352380972</v>
      </c>
      <c r="E38" s="30">
        <v>103.993638</v>
      </c>
      <c r="F38" s="30">
        <v>115.087853</v>
      </c>
      <c r="G38" s="31">
        <v>1000000.74313524</v>
      </c>
      <c r="H38" s="31">
        <v>1106682.49269094</v>
      </c>
      <c r="I38" s="31">
        <v>106681.74955569988</v>
      </c>
      <c r="J38" s="32">
        <v>0.10668167027679122</v>
      </c>
      <c r="K38" s="36" t="s">
        <v>117</v>
      </c>
    </row>
    <row r="39">
      <c r="A39" s="36" t="s">
        <v>85</v>
      </c>
      <c r="B39" s="28" t="s">
        <v>6</v>
      </c>
      <c r="C39" s="44">
        <v>15844.09</v>
      </c>
      <c r="D39" s="32">
        <v>0.08840735873347955</v>
      </c>
      <c r="E39" s="30">
        <v>60.20324452696116</v>
      </c>
      <c r="F39" s="30">
        <v>65.611698</v>
      </c>
      <c r="G39" s="31">
        <v>953865.62457718</v>
      </c>
      <c r="H39" s="31">
        <v>1039557.64816482</v>
      </c>
      <c r="I39" s="31">
        <v>85692.02358764003</v>
      </c>
      <c r="J39" s="32">
        <v>0.08983657800397694</v>
      </c>
      <c r="K39" s="36" t="s">
        <v>117</v>
      </c>
    </row>
    <row r="40">
      <c r="A40" s="36" t="s">
        <v>96</v>
      </c>
      <c r="B40" s="28" t="s">
        <v>7</v>
      </c>
      <c r="C40" s="44">
        <v>795920.0</v>
      </c>
      <c r="D40" s="32">
        <v>0.10398037090825706</v>
      </c>
      <c r="E40" s="30">
        <v>1.47261</v>
      </c>
      <c r="F40" s="30">
        <v>1.53618</v>
      </c>
      <c r="G40" s="31">
        <v>1172079.7512</v>
      </c>
      <c r="H40" s="31">
        <v>1222676.3856000002</v>
      </c>
      <c r="I40" s="31">
        <v>50596.6344000001</v>
      </c>
      <c r="J40" s="32">
        <v>0.04316825228675625</v>
      </c>
      <c r="K40" s="36" t="s">
        <v>115</v>
      </c>
    </row>
    <row r="41">
      <c r="A41" s="36" t="s">
        <v>95</v>
      </c>
      <c r="B41" s="28" t="s">
        <v>7</v>
      </c>
      <c r="C41" s="44">
        <v>1464624.0</v>
      </c>
      <c r="D41" s="32">
        <v>0.1830978813163303</v>
      </c>
      <c r="E41" s="30">
        <v>1.363</v>
      </c>
      <c r="F41" s="30">
        <v>1.47</v>
      </c>
      <c r="G41" s="31">
        <v>1996282.5119999999</v>
      </c>
      <c r="H41" s="31">
        <v>2152997.28</v>
      </c>
      <c r="I41" s="31">
        <v>156714.76799999992</v>
      </c>
      <c r="J41" s="32">
        <v>0.07850330154071897</v>
      </c>
      <c r="K41" s="36" t="s">
        <v>115</v>
      </c>
    </row>
    <row r="42">
      <c r="A42" s="36" t="s">
        <v>77</v>
      </c>
      <c r="B42" s="28" t="s">
        <v>8</v>
      </c>
      <c r="C42" s="67">
        <v>1.0</v>
      </c>
      <c r="D42" s="32">
        <v>0.0026460798362804186</v>
      </c>
      <c r="E42" s="30">
        <v>22000.0</v>
      </c>
      <c r="F42" s="30">
        <v>31114.52</v>
      </c>
      <c r="G42" s="31">
        <v>22000.0</v>
      </c>
      <c r="H42" s="31">
        <v>31114.52</v>
      </c>
      <c r="I42" s="31">
        <v>9114.52</v>
      </c>
      <c r="J42" s="32">
        <v>0.41429636363636363</v>
      </c>
      <c r="K42" s="36" t="s">
        <v>116</v>
      </c>
    </row>
    <row r="43">
      <c r="A43" s="16"/>
      <c r="B43" s="68"/>
      <c r="C43" s="69"/>
      <c r="D43" s="70"/>
      <c r="E43" s="70"/>
      <c r="F43" s="71"/>
      <c r="G43" s="71"/>
      <c r="H43" s="71"/>
      <c r="I43" s="69"/>
      <c r="J43" s="16"/>
    </row>
    <row r="44">
      <c r="A44" s="16"/>
      <c r="B44" s="68"/>
      <c r="C44" s="69"/>
      <c r="D44" s="70"/>
      <c r="E44" s="70"/>
      <c r="F44" s="71"/>
      <c r="G44" s="71"/>
      <c r="H44" s="71"/>
      <c r="I44" s="69"/>
      <c r="J44" s="16"/>
    </row>
  </sheetData>
  <conditionalFormatting sqref="C2:D2 I5:J999 P5:P9 H43:H44">
    <cfRule type="cellIs" dxfId="0" priority="1" operator="greaterThan">
      <formula>0</formula>
    </cfRule>
  </conditionalFormatting>
  <conditionalFormatting sqref="C2:D2 I5:J999 P5:P9 H43:H44">
    <cfRule type="cellIs" dxfId="1" priority="2" operator="lessThan">
      <formula>0</formula>
    </cfRule>
  </conditionalFormatting>
  <conditionalFormatting sqref="C2:D2 I5:J999 P5:P9 H43:H44">
    <cfRule type="cellIs" dxfId="3" priority="3" operator="equal">
      <formula>0</formula>
    </cfRule>
  </conditionalFormatting>
  <conditionalFormatting sqref="C2:C42 B43:B44 C45:C999">
    <cfRule type="cellIs" dxfId="2" priority="4" operator="equal">
      <formula>0</formula>
    </cfRule>
  </conditionalFormatting>
  <dataValidations>
    <dataValidation type="list" allowBlank="1" sqref="B5:B25">
      <formula1>"Acciones,Cedear,Opciones,Opc Negociables,Bonos,FCI,FCI/Jardin,FCI/Cobertura,Letras"</formula1>
    </dataValidation>
    <dataValidation type="list" allowBlank="1" showErrorMessage="1" sqref="K5:K42 J43:J44">
      <formula1>"Eco,Ppi,Binance,Galicia"</formula1>
    </dataValidation>
    <dataValidation type="list" allowBlank="1" sqref="B26:B42">
      <formula1>"Acciones,Cedear,Opc/Futuros,ON,Bonos,FCI,Letras,Cripto"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6.25"/>
    <col customWidth="1" min="4" max="4" width="13.75"/>
    <col customWidth="1" min="5" max="5" width="20.0"/>
    <col customWidth="1" min="6" max="6" width="20.63"/>
    <col customWidth="1" min="7" max="7" width="18.25"/>
    <col customWidth="1" min="8" max="8" width="14.75"/>
    <col customWidth="1" min="9" max="9" width="15.25"/>
    <col customWidth="1" min="10" max="10" width="16.25"/>
    <col customWidth="1" min="11" max="11" width="13.88"/>
    <col customWidth="1" min="13" max="13" width="14.5"/>
    <col customWidth="1" min="16" max="16" width="14.0"/>
  </cols>
  <sheetData>
    <row r="1">
      <c r="A1" s="54" t="s">
        <v>101</v>
      </c>
      <c r="C1" s="55" t="s">
        <v>40</v>
      </c>
      <c r="D1" s="55" t="s">
        <v>41</v>
      </c>
      <c r="E1" s="55" t="s">
        <v>102</v>
      </c>
      <c r="F1" s="55" t="s">
        <v>103</v>
      </c>
      <c r="G1" s="26" t="s">
        <v>9</v>
      </c>
      <c r="H1" s="55" t="s">
        <v>104</v>
      </c>
      <c r="I1" s="55" t="s">
        <v>105</v>
      </c>
      <c r="M1" s="56" t="s">
        <v>1</v>
      </c>
      <c r="N1" s="9">
        <v>0.0</v>
      </c>
    </row>
    <row r="2">
      <c r="C2" s="31">
        <v>384956.3141183588</v>
      </c>
      <c r="D2" s="32">
        <v>0.03530127631174129</v>
      </c>
      <c r="E2" s="31">
        <v>1.090488374184712E7</v>
      </c>
      <c r="F2" s="57">
        <v>1.1289840055965481E7</v>
      </c>
      <c r="G2" s="52">
        <v>217000.0</v>
      </c>
      <c r="H2" s="57">
        <v>1.112188374184712E7</v>
      </c>
      <c r="I2" s="57">
        <v>1.1506840055965481E7</v>
      </c>
      <c r="M2" s="58" t="s">
        <v>2</v>
      </c>
      <c r="N2" s="9">
        <v>365441.0</v>
      </c>
    </row>
    <row r="3">
      <c r="J3" s="59"/>
      <c r="M3" s="56" t="s">
        <v>3</v>
      </c>
      <c r="N3" s="9">
        <v>52740.0</v>
      </c>
    </row>
    <row r="4">
      <c r="A4" s="26" t="s">
        <v>32</v>
      </c>
      <c r="B4" s="26" t="s">
        <v>34</v>
      </c>
      <c r="C4" s="26" t="s">
        <v>106</v>
      </c>
      <c r="D4" s="26" t="s">
        <v>107</v>
      </c>
      <c r="E4" s="26" t="s">
        <v>108</v>
      </c>
      <c r="F4" s="26" t="s">
        <v>109</v>
      </c>
      <c r="G4" s="26" t="s">
        <v>110</v>
      </c>
      <c r="H4" s="26" t="s">
        <v>111</v>
      </c>
      <c r="I4" s="26" t="s">
        <v>40</v>
      </c>
      <c r="J4" s="26" t="s">
        <v>41</v>
      </c>
      <c r="K4" s="26" t="s">
        <v>112</v>
      </c>
      <c r="L4" s="27"/>
      <c r="M4" s="58" t="s">
        <v>4</v>
      </c>
      <c r="N4" s="9">
        <v>505953.0</v>
      </c>
      <c r="O4" s="27"/>
      <c r="P4" s="26" t="s">
        <v>118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9" t="s">
        <v>44</v>
      </c>
      <c r="B5" s="28" t="s">
        <v>2</v>
      </c>
      <c r="C5" s="44">
        <v>15.0</v>
      </c>
      <c r="D5" s="32">
        <v>9.512977993275512E-4</v>
      </c>
      <c r="E5" s="30">
        <v>984.0</v>
      </c>
      <c r="F5" s="30">
        <v>716.0</v>
      </c>
      <c r="G5" s="31">
        <v>14760.0</v>
      </c>
      <c r="H5" s="31">
        <v>10740.0</v>
      </c>
      <c r="I5" s="31">
        <v>-4020.0</v>
      </c>
      <c r="J5" s="32">
        <v>-0.27235772357723576</v>
      </c>
      <c r="K5" s="36" t="s">
        <v>114</v>
      </c>
      <c r="M5" s="56" t="s">
        <v>5</v>
      </c>
      <c r="N5" s="9">
        <v>353492.0</v>
      </c>
      <c r="P5" s="60">
        <v>-615.0</v>
      </c>
    </row>
    <row r="6">
      <c r="A6" s="33" t="s">
        <v>46</v>
      </c>
      <c r="B6" s="28" t="s">
        <v>2</v>
      </c>
      <c r="C6" s="44">
        <v>30.0</v>
      </c>
      <c r="D6" s="32">
        <v>5.101932331589102E-4</v>
      </c>
      <c r="E6" s="30">
        <v>371.26666666666665</v>
      </c>
      <c r="F6" s="30">
        <v>192.0</v>
      </c>
      <c r="G6" s="31">
        <v>11138.0</v>
      </c>
      <c r="H6" s="31">
        <v>5760.0</v>
      </c>
      <c r="I6" s="31">
        <v>-5378.0</v>
      </c>
      <c r="J6" s="32">
        <v>-0.48285149937152094</v>
      </c>
      <c r="K6" s="36" t="s">
        <v>114</v>
      </c>
      <c r="M6" s="56" t="s">
        <v>6</v>
      </c>
      <c r="N6" s="9">
        <v>6724481.903965481</v>
      </c>
      <c r="P6" s="60">
        <v>-570.0</v>
      </c>
    </row>
    <row r="7">
      <c r="A7" s="33" t="s">
        <v>47</v>
      </c>
      <c r="B7" s="28" t="s">
        <v>2</v>
      </c>
      <c r="C7" s="44">
        <v>20.0</v>
      </c>
      <c r="D7" s="32">
        <v>0.0025155360801585153</v>
      </c>
      <c r="E7" s="30">
        <v>1740.0</v>
      </c>
      <c r="F7" s="30">
        <v>1420.0</v>
      </c>
      <c r="G7" s="31">
        <v>34800.0</v>
      </c>
      <c r="H7" s="31">
        <v>28400.0</v>
      </c>
      <c r="I7" s="31">
        <v>-6400.0</v>
      </c>
      <c r="J7" s="32">
        <v>-0.1839080459770115</v>
      </c>
      <c r="K7" s="36" t="s">
        <v>114</v>
      </c>
      <c r="M7" s="61" t="s">
        <v>7</v>
      </c>
      <c r="N7" s="9">
        <v>3259732.1520000002</v>
      </c>
      <c r="P7" s="60">
        <v>-1600.0</v>
      </c>
    </row>
    <row r="8">
      <c r="A8" s="33" t="s">
        <v>48</v>
      </c>
      <c r="B8" s="28" t="s">
        <v>2</v>
      </c>
      <c r="C8" s="44">
        <v>46.0</v>
      </c>
      <c r="D8" s="32">
        <v>4.8078626208100076E-4</v>
      </c>
      <c r="E8" s="30">
        <v>232.2336956521739</v>
      </c>
      <c r="F8" s="30">
        <v>118.0</v>
      </c>
      <c r="G8" s="31">
        <v>10682.75</v>
      </c>
      <c r="H8" s="31">
        <v>5428.0</v>
      </c>
      <c r="I8" s="31">
        <v>-5254.75</v>
      </c>
      <c r="J8" s="32">
        <v>-0.4918911329011724</v>
      </c>
      <c r="K8" s="36" t="s">
        <v>114</v>
      </c>
      <c r="M8" s="61" t="s">
        <v>8</v>
      </c>
      <c r="N8" s="9">
        <v>28000.0</v>
      </c>
      <c r="P8" s="60">
        <v>-1196.0</v>
      </c>
    </row>
    <row r="9">
      <c r="A9" s="33" t="s">
        <v>49</v>
      </c>
      <c r="B9" s="28" t="s">
        <v>2</v>
      </c>
      <c r="C9" s="44">
        <v>25.0</v>
      </c>
      <c r="D9" s="32">
        <v>0.0033769300371846267</v>
      </c>
      <c r="E9" s="30">
        <v>1270.6</v>
      </c>
      <c r="F9" s="30">
        <v>1525.0</v>
      </c>
      <c r="G9" s="31">
        <v>31764.999999999996</v>
      </c>
      <c r="H9" s="31">
        <v>38125.0</v>
      </c>
      <c r="I9" s="31">
        <v>6360.000000000004</v>
      </c>
      <c r="J9" s="32">
        <v>0.20022036832992302</v>
      </c>
      <c r="K9" s="36" t="s">
        <v>114</v>
      </c>
      <c r="M9" s="62" t="s">
        <v>9</v>
      </c>
      <c r="N9" s="63">
        <v>107420.0</v>
      </c>
      <c r="P9" s="60">
        <v>-1875.0</v>
      </c>
    </row>
    <row r="10">
      <c r="A10" s="33" t="s">
        <v>50</v>
      </c>
      <c r="B10" s="28" t="s">
        <v>2</v>
      </c>
      <c r="C10" s="44">
        <v>100.0</v>
      </c>
      <c r="D10" s="32">
        <v>0.0018246494102558246</v>
      </c>
      <c r="E10" s="30">
        <v>394.0</v>
      </c>
      <c r="F10" s="30">
        <v>206.0</v>
      </c>
      <c r="G10" s="31">
        <v>39400.0</v>
      </c>
      <c r="H10" s="31">
        <v>20600.0</v>
      </c>
      <c r="I10" s="31">
        <v>-18800.0</v>
      </c>
      <c r="J10" s="32">
        <v>-0.47715736040609136</v>
      </c>
      <c r="K10" s="36" t="s">
        <v>114</v>
      </c>
      <c r="M10" s="64" t="s">
        <v>10</v>
      </c>
      <c r="N10" s="65">
        <v>1.1397260055965481E7</v>
      </c>
    </row>
    <row r="11">
      <c r="A11" s="33" t="s">
        <v>51</v>
      </c>
      <c r="B11" s="28" t="s">
        <v>2</v>
      </c>
      <c r="C11" s="44">
        <v>20.0</v>
      </c>
      <c r="D11" s="32">
        <v>0.006527993278439528</v>
      </c>
      <c r="E11" s="30">
        <v>4200.0</v>
      </c>
      <c r="F11" s="30">
        <v>3685.0</v>
      </c>
      <c r="G11" s="31">
        <v>84000.0</v>
      </c>
      <c r="H11" s="31">
        <v>73700.0</v>
      </c>
      <c r="I11" s="31">
        <v>-10300.0</v>
      </c>
      <c r="J11" s="32">
        <v>-0.12261904761904761</v>
      </c>
      <c r="K11" s="36" t="s">
        <v>114</v>
      </c>
    </row>
    <row r="12">
      <c r="A12" s="33" t="s">
        <v>52</v>
      </c>
      <c r="B12" s="28" t="s">
        <v>2</v>
      </c>
      <c r="C12" s="44">
        <v>7660.0</v>
      </c>
      <c r="D12" s="32">
        <v>0.014926695078461725</v>
      </c>
      <c r="E12" s="30">
        <v>40.0</v>
      </c>
      <c r="F12" s="30">
        <v>22.0</v>
      </c>
      <c r="G12" s="31">
        <v>306400.0</v>
      </c>
      <c r="H12" s="31">
        <v>168520.0</v>
      </c>
      <c r="I12" s="31">
        <v>-137880.0</v>
      </c>
      <c r="J12" s="32">
        <v>-0.45</v>
      </c>
      <c r="K12" s="36" t="s">
        <v>114</v>
      </c>
      <c r="M12" s="61" t="s">
        <v>114</v>
      </c>
      <c r="N12" s="9">
        <v>963854.0</v>
      </c>
    </row>
    <row r="13">
      <c r="A13" s="38" t="s">
        <v>54</v>
      </c>
      <c r="B13" s="28" t="s">
        <v>2</v>
      </c>
      <c r="C13" s="44">
        <v>23.0</v>
      </c>
      <c r="D13" s="32">
        <v>0.0012549336332283749</v>
      </c>
      <c r="E13" s="30">
        <v>963.0</v>
      </c>
      <c r="F13" s="30">
        <v>616.0</v>
      </c>
      <c r="G13" s="31">
        <v>22149.0</v>
      </c>
      <c r="H13" s="31">
        <v>14168.0</v>
      </c>
      <c r="I13" s="31">
        <v>-7981.0</v>
      </c>
      <c r="J13" s="32">
        <v>-0.3603322949117342</v>
      </c>
      <c r="K13" s="36" t="s">
        <v>114</v>
      </c>
      <c r="M13" s="61" t="s">
        <v>115</v>
      </c>
      <c r="N13" s="9">
        <v>7082321.52596548</v>
      </c>
    </row>
    <row r="14">
      <c r="A14" s="38" t="s">
        <v>58</v>
      </c>
      <c r="B14" s="28" t="s">
        <v>4</v>
      </c>
      <c r="C14" s="44">
        <v>45.0</v>
      </c>
      <c r="D14" s="32">
        <v>0.0075731808047025725</v>
      </c>
      <c r="E14" s="30">
        <v>1895.0</v>
      </c>
      <c r="F14" s="30">
        <v>1900.0</v>
      </c>
      <c r="G14" s="31">
        <v>85275.0</v>
      </c>
      <c r="H14" s="31">
        <v>85500.0</v>
      </c>
      <c r="I14" s="31">
        <v>225.0</v>
      </c>
      <c r="J14" s="32">
        <v>0.002638522427440633</v>
      </c>
      <c r="K14" s="36" t="s">
        <v>114</v>
      </c>
      <c r="M14" s="61" t="s">
        <v>116</v>
      </c>
      <c r="N14" s="9">
        <v>28000.0</v>
      </c>
    </row>
    <row r="15">
      <c r="A15" s="35" t="s">
        <v>59</v>
      </c>
      <c r="B15" s="28" t="s">
        <v>4</v>
      </c>
      <c r="C15" s="44">
        <v>1.0</v>
      </c>
      <c r="D15" s="32">
        <v>0.0013884164808621383</v>
      </c>
      <c r="E15" s="30">
        <v>11400.0</v>
      </c>
      <c r="F15" s="30">
        <v>15675.0</v>
      </c>
      <c r="G15" s="31">
        <v>11400.0</v>
      </c>
      <c r="H15" s="31">
        <v>15675.0</v>
      </c>
      <c r="I15" s="31">
        <v>4275.0</v>
      </c>
      <c r="J15" s="32">
        <v>0.375</v>
      </c>
      <c r="K15" s="36" t="s">
        <v>114</v>
      </c>
      <c r="M15" s="61" t="s">
        <v>117</v>
      </c>
      <c r="N15" s="9">
        <v>3215664.5300000003</v>
      </c>
    </row>
    <row r="16">
      <c r="A16" s="35" t="s">
        <v>60</v>
      </c>
      <c r="B16" s="28" t="s">
        <v>4</v>
      </c>
      <c r="C16" s="44">
        <v>5.0</v>
      </c>
      <c r="D16" s="32">
        <v>0.0048968807109705465</v>
      </c>
      <c r="E16" s="30">
        <v>7400.0</v>
      </c>
      <c r="F16" s="30">
        <v>11057.0</v>
      </c>
      <c r="G16" s="31">
        <v>37000.0</v>
      </c>
      <c r="H16" s="31">
        <v>55285.0</v>
      </c>
      <c r="I16" s="31">
        <v>18285.0</v>
      </c>
      <c r="J16" s="32">
        <v>0.4941891891891892</v>
      </c>
      <c r="K16" s="36" t="s">
        <v>114</v>
      </c>
      <c r="M16" s="64" t="s">
        <v>9</v>
      </c>
      <c r="N16" s="63">
        <v>107420.0</v>
      </c>
    </row>
    <row r="17">
      <c r="A17" s="35" t="s">
        <v>61</v>
      </c>
      <c r="B17" s="28" t="s">
        <v>4</v>
      </c>
      <c r="C17" s="44">
        <v>5.0</v>
      </c>
      <c r="D17" s="32">
        <v>0.0021501633220369</v>
      </c>
      <c r="E17" s="30">
        <v>5970.0</v>
      </c>
      <c r="F17" s="30">
        <v>4855.0</v>
      </c>
      <c r="G17" s="31">
        <v>29850.0</v>
      </c>
      <c r="H17" s="31">
        <v>24275.0</v>
      </c>
      <c r="I17" s="31">
        <v>-5575.0</v>
      </c>
      <c r="J17" s="32">
        <v>-0.18676716917922948</v>
      </c>
      <c r="K17" s="36" t="s">
        <v>114</v>
      </c>
      <c r="M17" s="64" t="s">
        <v>10</v>
      </c>
      <c r="N17" s="65">
        <v>1.139726005596548E7</v>
      </c>
    </row>
    <row r="18">
      <c r="A18" s="38" t="s">
        <v>62</v>
      </c>
      <c r="B18" s="28" t="s">
        <v>4</v>
      </c>
      <c r="C18" s="44">
        <v>25.0</v>
      </c>
      <c r="D18" s="32">
        <v>0.008193207303333193</v>
      </c>
      <c r="E18" s="30">
        <v>3995.0</v>
      </c>
      <c r="F18" s="30">
        <v>3700.0</v>
      </c>
      <c r="G18" s="31">
        <v>99875.0</v>
      </c>
      <c r="H18" s="31">
        <v>92500.0</v>
      </c>
      <c r="I18" s="31">
        <v>-7375.0</v>
      </c>
      <c r="J18" s="32">
        <v>-0.07384230287859825</v>
      </c>
      <c r="K18" s="36" t="s">
        <v>114</v>
      </c>
    </row>
    <row r="19">
      <c r="A19" s="37" t="s">
        <v>63</v>
      </c>
      <c r="B19" s="28" t="s">
        <v>4</v>
      </c>
      <c r="C19" s="44">
        <v>1.0</v>
      </c>
      <c r="D19" s="32">
        <v>0.002108090095344108</v>
      </c>
      <c r="E19" s="30">
        <v>17850.0</v>
      </c>
      <c r="F19" s="30">
        <v>23800.0</v>
      </c>
      <c r="G19" s="31">
        <v>17850.0</v>
      </c>
      <c r="H19" s="31">
        <v>23800.0</v>
      </c>
      <c r="I19" s="31">
        <v>5950.0</v>
      </c>
      <c r="J19" s="32">
        <v>0.3333333333333333</v>
      </c>
      <c r="K19" s="36" t="s">
        <v>114</v>
      </c>
    </row>
    <row r="20">
      <c r="A20" s="39" t="s">
        <v>64</v>
      </c>
      <c r="B20" s="28" t="s">
        <v>4</v>
      </c>
      <c r="C20" s="44">
        <v>1.0</v>
      </c>
      <c r="D20" s="32">
        <v>0.0015722100500990721</v>
      </c>
      <c r="E20" s="30">
        <v>15000.0</v>
      </c>
      <c r="F20" s="30">
        <v>17750.0</v>
      </c>
      <c r="G20" s="31">
        <v>15000.0</v>
      </c>
      <c r="H20" s="31">
        <v>17750.0</v>
      </c>
      <c r="I20" s="31">
        <v>2750.0</v>
      </c>
      <c r="J20" s="32">
        <v>0.18333333333333332</v>
      </c>
      <c r="K20" s="36" t="s">
        <v>114</v>
      </c>
    </row>
    <row r="21">
      <c r="A21" s="37" t="s">
        <v>65</v>
      </c>
      <c r="B21" s="28" t="s">
        <v>4</v>
      </c>
      <c r="C21" s="44">
        <v>9.0</v>
      </c>
      <c r="D21" s="32">
        <v>0.002597999604476388</v>
      </c>
      <c r="E21" s="30">
        <v>3655.0</v>
      </c>
      <c r="F21" s="30">
        <v>3259.0</v>
      </c>
      <c r="G21" s="31">
        <v>32895.0</v>
      </c>
      <c r="H21" s="31">
        <v>29331.0</v>
      </c>
      <c r="I21" s="31">
        <v>-3564.0</v>
      </c>
      <c r="J21" s="32">
        <v>-0.10834473324213406</v>
      </c>
      <c r="K21" s="36" t="s">
        <v>114</v>
      </c>
    </row>
    <row r="22">
      <c r="A22" s="39" t="s">
        <v>66</v>
      </c>
      <c r="B22" s="28" t="s">
        <v>4</v>
      </c>
      <c r="C22" s="44">
        <v>1.0</v>
      </c>
      <c r="D22" s="32">
        <v>0.0017944452622511043</v>
      </c>
      <c r="E22" s="30">
        <v>17775.0</v>
      </c>
      <c r="F22" s="30">
        <v>20259.0</v>
      </c>
      <c r="G22" s="31">
        <v>17775.0</v>
      </c>
      <c r="H22" s="31">
        <v>20259.0</v>
      </c>
      <c r="I22" s="31">
        <v>2484.0</v>
      </c>
      <c r="J22" s="32">
        <v>0.13974683544303798</v>
      </c>
      <c r="K22" s="36" t="s">
        <v>114</v>
      </c>
    </row>
    <row r="23">
      <c r="A23" s="35" t="s">
        <v>67</v>
      </c>
      <c r="B23" s="28" t="s">
        <v>4</v>
      </c>
      <c r="C23" s="44">
        <v>1.0</v>
      </c>
      <c r="D23" s="32">
        <v>6.82029148493682E-4</v>
      </c>
      <c r="E23" s="30">
        <v>7790.0</v>
      </c>
      <c r="F23" s="30">
        <v>7700.0</v>
      </c>
      <c r="G23" s="31">
        <v>7790.0</v>
      </c>
      <c r="H23" s="31">
        <v>7700.0</v>
      </c>
      <c r="I23" s="31">
        <v>-90.0</v>
      </c>
      <c r="J23" s="32">
        <v>-0.011553273427471117</v>
      </c>
      <c r="K23" s="36" t="s">
        <v>114</v>
      </c>
    </row>
    <row r="24">
      <c r="A24" s="38" t="s">
        <v>68</v>
      </c>
      <c r="B24" s="28" t="s">
        <v>4</v>
      </c>
      <c r="C24" s="44">
        <v>2.0</v>
      </c>
      <c r="D24" s="32">
        <v>0.006696286185210696</v>
      </c>
      <c r="E24" s="30">
        <v>35825.0</v>
      </c>
      <c r="F24" s="30">
        <v>37800.0</v>
      </c>
      <c r="G24" s="31">
        <v>71650.0</v>
      </c>
      <c r="H24" s="31">
        <v>75600.0</v>
      </c>
      <c r="I24" s="31">
        <v>3950.0</v>
      </c>
      <c r="J24" s="32">
        <v>0.05512909979064899</v>
      </c>
      <c r="K24" s="36" t="s">
        <v>114</v>
      </c>
    </row>
    <row r="25">
      <c r="A25" s="35" t="s">
        <v>70</v>
      </c>
      <c r="B25" s="28" t="s">
        <v>4</v>
      </c>
      <c r="C25" s="44">
        <v>3.0</v>
      </c>
      <c r="D25" s="32">
        <v>0.005161986326742181</v>
      </c>
      <c r="E25" s="30">
        <v>21041.666666666668</v>
      </c>
      <c r="F25" s="30">
        <v>19426.0</v>
      </c>
      <c r="G25" s="31">
        <v>63125.0</v>
      </c>
      <c r="H25" s="31">
        <v>58278.0</v>
      </c>
      <c r="I25" s="31">
        <v>-4847.0</v>
      </c>
      <c r="J25" s="32">
        <v>-0.07678415841584159</v>
      </c>
      <c r="K25" s="36" t="s">
        <v>114</v>
      </c>
    </row>
    <row r="26">
      <c r="A26" s="36" t="s">
        <v>55</v>
      </c>
      <c r="B26" s="28" t="s">
        <v>3</v>
      </c>
      <c r="C26" s="44">
        <v>60.0</v>
      </c>
      <c r="D26" s="32">
        <v>0.004671456791111271</v>
      </c>
      <c r="E26" s="30">
        <v>740.0</v>
      </c>
      <c r="F26" s="30">
        <v>879.0</v>
      </c>
      <c r="G26" s="31">
        <v>44400.0</v>
      </c>
      <c r="H26" s="31">
        <v>52740.0</v>
      </c>
      <c r="I26" s="31">
        <v>8340.0</v>
      </c>
      <c r="J26" s="32">
        <v>0.18783783783783783</v>
      </c>
      <c r="K26" s="36" t="s">
        <v>114</v>
      </c>
    </row>
    <row r="27">
      <c r="A27" s="36" t="s">
        <v>80</v>
      </c>
      <c r="B27" s="28" t="s">
        <v>5</v>
      </c>
      <c r="C27" s="44">
        <v>12.0</v>
      </c>
      <c r="D27" s="32">
        <v>7.546608240475546E-4</v>
      </c>
      <c r="E27" s="30">
        <v>1169.0</v>
      </c>
      <c r="F27" s="30">
        <v>710.0</v>
      </c>
      <c r="G27" s="31">
        <v>14028.0</v>
      </c>
      <c r="H27" s="31">
        <v>8520.0</v>
      </c>
      <c r="I27" s="31">
        <v>-5508.0</v>
      </c>
      <c r="J27" s="32">
        <v>-0.39264328485885375</v>
      </c>
      <c r="K27" s="36" t="s">
        <v>114</v>
      </c>
    </row>
    <row r="28">
      <c r="A28" s="36" t="s">
        <v>71</v>
      </c>
      <c r="B28" s="28" t="s">
        <v>5</v>
      </c>
      <c r="C28" s="44">
        <v>26.0</v>
      </c>
      <c r="D28" s="32">
        <v>0.0027635466796107635</v>
      </c>
      <c r="E28" s="30">
        <v>1220.9615384615386</v>
      </c>
      <c r="F28" s="30">
        <v>1200.0</v>
      </c>
      <c r="G28" s="31">
        <v>31745.000000000004</v>
      </c>
      <c r="H28" s="31">
        <v>31200.0</v>
      </c>
      <c r="I28" s="31">
        <v>-545.0000000000036</v>
      </c>
      <c r="J28" s="32">
        <v>-0.017168057961883875</v>
      </c>
      <c r="K28" s="36" t="s">
        <v>114</v>
      </c>
    </row>
    <row r="29">
      <c r="A29" s="41" t="s">
        <v>94</v>
      </c>
      <c r="B29" s="28" t="s">
        <v>5</v>
      </c>
      <c r="C29" s="44">
        <v>98.0</v>
      </c>
      <c r="D29" s="32">
        <v>0.007994621673343213</v>
      </c>
      <c r="E29" s="30">
        <v>1135.0</v>
      </c>
      <c r="F29" s="30">
        <v>921.0</v>
      </c>
      <c r="G29" s="31">
        <v>111230.0</v>
      </c>
      <c r="H29" s="31">
        <v>90258.0</v>
      </c>
      <c r="I29" s="31">
        <v>-20972.0</v>
      </c>
      <c r="J29" s="32">
        <v>-0.18854625550660792</v>
      </c>
      <c r="K29" s="36" t="s">
        <v>115</v>
      </c>
    </row>
    <row r="30">
      <c r="A30" s="41" t="s">
        <v>92</v>
      </c>
      <c r="B30" s="28" t="s">
        <v>5</v>
      </c>
      <c r="C30" s="44">
        <v>99.0</v>
      </c>
      <c r="D30" s="32">
        <v>0.010101826016546422</v>
      </c>
      <c r="E30" s="30">
        <v>1315.0625</v>
      </c>
      <c r="F30" s="30">
        <v>1152.0</v>
      </c>
      <c r="G30" s="31">
        <v>130191.1875</v>
      </c>
      <c r="H30" s="31">
        <v>114048.0</v>
      </c>
      <c r="I30" s="31">
        <v>-16143.1875</v>
      </c>
      <c r="J30" s="32">
        <v>-0.12399600779430635</v>
      </c>
      <c r="K30" s="36" t="s">
        <v>115</v>
      </c>
    </row>
    <row r="31">
      <c r="A31" s="41" t="s">
        <v>93</v>
      </c>
      <c r="B31" s="28" t="s">
        <v>5</v>
      </c>
      <c r="C31" s="44">
        <v>98.0</v>
      </c>
      <c r="D31" s="32">
        <v>0.009695974385585636</v>
      </c>
      <c r="E31" s="30">
        <v>1197.8</v>
      </c>
      <c r="F31" s="30">
        <v>1117.0</v>
      </c>
      <c r="G31" s="31">
        <v>117384.4</v>
      </c>
      <c r="H31" s="31">
        <v>109466.0</v>
      </c>
      <c r="I31" s="31">
        <v>-7918.399999999994</v>
      </c>
      <c r="J31" s="32">
        <v>-0.06745700450826511</v>
      </c>
      <c r="K31" s="36" t="s">
        <v>115</v>
      </c>
    </row>
    <row r="32">
      <c r="A32" s="36" t="s">
        <v>90</v>
      </c>
      <c r="B32" s="28" t="s">
        <v>6</v>
      </c>
      <c r="C32" s="44">
        <v>38715.0435</v>
      </c>
      <c r="D32" s="32">
        <v>0.04759720253929194</v>
      </c>
      <c r="E32" s="30">
        <v>12.9</v>
      </c>
      <c r="F32" s="30">
        <v>13.88</v>
      </c>
      <c r="G32" s="31">
        <v>499424.06115</v>
      </c>
      <c r="H32" s="31">
        <v>537364.8037800001</v>
      </c>
      <c r="I32" s="31">
        <v>37940.74263000005</v>
      </c>
      <c r="J32" s="32">
        <v>0.07596899224806211</v>
      </c>
      <c r="K32" s="36" t="s">
        <v>115</v>
      </c>
    </row>
    <row r="33">
      <c r="A33" s="41" t="s">
        <v>72</v>
      </c>
      <c r="B33" s="28" t="s">
        <v>6</v>
      </c>
      <c r="C33" s="44">
        <v>10501.993</v>
      </c>
      <c r="D33" s="32">
        <v>0.10790508828832295</v>
      </c>
      <c r="E33" s="30">
        <v>104.14000000000001</v>
      </c>
      <c r="F33" s="30">
        <v>116.0</v>
      </c>
      <c r="G33" s="31">
        <v>1093677.5510200001</v>
      </c>
      <c r="H33" s="31">
        <v>1218231.188</v>
      </c>
      <c r="I33" s="31">
        <v>124553.63697999995</v>
      </c>
      <c r="J33" s="32">
        <v>0.11388515459957743</v>
      </c>
      <c r="K33" s="36" t="s">
        <v>115</v>
      </c>
    </row>
    <row r="34">
      <c r="A34" s="66" t="s">
        <v>73</v>
      </c>
      <c r="B34" s="28" t="s">
        <v>6</v>
      </c>
      <c r="C34" s="44">
        <v>120.775</v>
      </c>
      <c r="D34" s="32">
        <v>0.009595811319112212</v>
      </c>
      <c r="E34" s="30">
        <v>1067.0</v>
      </c>
      <c r="F34" s="30">
        <v>897.0</v>
      </c>
      <c r="G34" s="31">
        <v>128866.925</v>
      </c>
      <c r="H34" s="31">
        <v>108335.175</v>
      </c>
      <c r="I34" s="31">
        <v>-20531.75</v>
      </c>
      <c r="J34" s="32">
        <v>-0.15932521087160262</v>
      </c>
      <c r="K34" s="36" t="s">
        <v>115</v>
      </c>
    </row>
    <row r="35">
      <c r="A35" s="66" t="s">
        <v>83</v>
      </c>
      <c r="B35" s="28" t="s">
        <v>6</v>
      </c>
      <c r="C35" s="44">
        <v>93074.373</v>
      </c>
      <c r="D35" s="32">
        <v>0.04673570377626378</v>
      </c>
      <c r="E35" s="30">
        <v>5.34195</v>
      </c>
      <c r="F35" s="30">
        <v>5.669</v>
      </c>
      <c r="G35" s="31">
        <v>497198.64684735</v>
      </c>
      <c r="H35" s="31">
        <v>527638.620537</v>
      </c>
      <c r="I35" s="31">
        <v>30439.97368965001</v>
      </c>
      <c r="J35" s="32">
        <v>0.06122296165258007</v>
      </c>
      <c r="K35" s="36" t="s">
        <v>115</v>
      </c>
    </row>
    <row r="36">
      <c r="A36" s="36" t="s">
        <v>84</v>
      </c>
      <c r="B36" s="28" t="s">
        <v>6</v>
      </c>
      <c r="C36" s="44">
        <v>13039.771086</v>
      </c>
      <c r="D36" s="32">
        <v>0.0989604441790239</v>
      </c>
      <c r="E36" s="30">
        <v>80.36389159475553</v>
      </c>
      <c r="F36" s="30">
        <v>85.68</v>
      </c>
      <c r="G36" s="31">
        <v>1047926.7499757316</v>
      </c>
      <c r="H36" s="31">
        <v>1117247.58664848</v>
      </c>
      <c r="I36" s="31">
        <v>69320.83667274844</v>
      </c>
      <c r="J36" s="32">
        <v>0.0661504601102642</v>
      </c>
      <c r="K36" s="36" t="s">
        <v>115</v>
      </c>
    </row>
    <row r="37">
      <c r="A37" s="36" t="s">
        <v>87</v>
      </c>
      <c r="B37" s="28" t="s">
        <v>6</v>
      </c>
      <c r="C37" s="44">
        <v>2374.82</v>
      </c>
      <c r="D37" s="32">
        <v>0.09676108736569512</v>
      </c>
      <c r="E37" s="30">
        <v>421.085741</v>
      </c>
      <c r="F37" s="30">
        <v>460.0</v>
      </c>
      <c r="G37" s="31">
        <v>1000002.83944162</v>
      </c>
      <c r="H37" s="31">
        <v>1092417.2000000002</v>
      </c>
      <c r="I37" s="31">
        <v>92414.36055838014</v>
      </c>
      <c r="J37" s="32">
        <v>0.09241409815394357</v>
      </c>
      <c r="K37" s="36" t="s">
        <v>117</v>
      </c>
    </row>
    <row r="38">
      <c r="A38" s="36" t="s">
        <v>86</v>
      </c>
      <c r="B38" s="28" t="s">
        <v>6</v>
      </c>
      <c r="C38" s="44">
        <v>9615.98</v>
      </c>
      <c r="D38" s="32">
        <v>0.09965328600076315</v>
      </c>
      <c r="E38" s="30">
        <v>103.993638</v>
      </c>
      <c r="F38" s="30">
        <v>117.0</v>
      </c>
      <c r="G38" s="31">
        <v>1000000.74313524</v>
      </c>
      <c r="H38" s="31">
        <v>1125069.66</v>
      </c>
      <c r="I38" s="31">
        <v>125068.91686475987</v>
      </c>
      <c r="J38" s="32">
        <v>0.12506882392170937</v>
      </c>
      <c r="K38" s="36" t="s">
        <v>117</v>
      </c>
    </row>
    <row r="39">
      <c r="A39" s="36" t="s">
        <v>85</v>
      </c>
      <c r="B39" s="28" t="s">
        <v>6</v>
      </c>
      <c r="C39" s="44">
        <v>15844.09</v>
      </c>
      <c r="D39" s="32">
        <v>0.08841380082019577</v>
      </c>
      <c r="E39" s="30">
        <v>60.20324452696116</v>
      </c>
      <c r="F39" s="30">
        <v>63.0</v>
      </c>
      <c r="G39" s="31">
        <v>953865.62457718</v>
      </c>
      <c r="H39" s="31">
        <v>998177.67</v>
      </c>
      <c r="I39" s="31">
        <v>44312.045422820025</v>
      </c>
      <c r="J39" s="32">
        <v>0.04645522836873613</v>
      </c>
      <c r="K39" s="36" t="s">
        <v>117</v>
      </c>
    </row>
    <row r="40">
      <c r="A40" s="36" t="s">
        <v>96</v>
      </c>
      <c r="B40" s="28" t="s">
        <v>7</v>
      </c>
      <c r="C40" s="44">
        <v>795920.0</v>
      </c>
      <c r="D40" s="32">
        <v>0.10574817659787494</v>
      </c>
      <c r="E40" s="30">
        <v>1.47261</v>
      </c>
      <c r="F40" s="30">
        <v>1.5</v>
      </c>
      <c r="G40" s="31">
        <v>1172079.7512</v>
      </c>
      <c r="H40" s="31">
        <v>1193880.0</v>
      </c>
      <c r="I40" s="31">
        <v>21800.248799999943</v>
      </c>
      <c r="J40" s="32">
        <v>0.01859962922973491</v>
      </c>
      <c r="K40" s="36" t="s">
        <v>115</v>
      </c>
    </row>
    <row r="41">
      <c r="A41" s="36" t="s">
        <v>95</v>
      </c>
      <c r="B41" s="28" t="s">
        <v>7</v>
      </c>
      <c r="C41" s="44">
        <v>1464624.0</v>
      </c>
      <c r="D41" s="32">
        <v>0.1829832966418702</v>
      </c>
      <c r="E41" s="30">
        <v>1.363</v>
      </c>
      <c r="F41" s="30">
        <v>1.4105</v>
      </c>
      <c r="G41" s="31">
        <v>1996282.5119999999</v>
      </c>
      <c r="H41" s="31">
        <v>2065852.1520000002</v>
      </c>
      <c r="I41" s="31">
        <v>69569.64000000036</v>
      </c>
      <c r="J41" s="32">
        <v>0.034849596478356754</v>
      </c>
      <c r="K41" s="36" t="s">
        <v>115</v>
      </c>
    </row>
    <row r="42">
      <c r="A42" s="36" t="s">
        <v>77</v>
      </c>
      <c r="B42" s="28" t="s">
        <v>8</v>
      </c>
      <c r="C42" s="67">
        <v>1.0</v>
      </c>
      <c r="D42" s="32">
        <v>0.00248010599452248</v>
      </c>
      <c r="E42" s="30">
        <v>22000.0</v>
      </c>
      <c r="F42" s="30">
        <v>28000.0</v>
      </c>
      <c r="G42" s="31">
        <v>22000.0</v>
      </c>
      <c r="H42" s="31">
        <v>28000.0</v>
      </c>
      <c r="I42" s="31">
        <v>6000.0</v>
      </c>
      <c r="J42" s="32">
        <v>0.2727272727272727</v>
      </c>
      <c r="K42" s="36" t="s">
        <v>116</v>
      </c>
    </row>
    <row r="43">
      <c r="A43" s="16"/>
      <c r="B43" s="68"/>
      <c r="C43" s="69"/>
      <c r="D43" s="70"/>
      <c r="E43" s="70"/>
      <c r="F43" s="71"/>
      <c r="G43" s="71"/>
      <c r="H43" s="71"/>
      <c r="I43" s="69"/>
      <c r="J43" s="16"/>
    </row>
    <row r="44">
      <c r="A44" s="16"/>
      <c r="B44" s="68"/>
      <c r="C44" s="69"/>
      <c r="D44" s="70"/>
      <c r="E44" s="70"/>
      <c r="F44" s="71"/>
      <c r="G44" s="71"/>
      <c r="H44" s="71"/>
      <c r="I44" s="69"/>
      <c r="J44" s="16"/>
    </row>
  </sheetData>
  <conditionalFormatting sqref="C2:D2 I5:J999 P5:P9 H43:H44">
    <cfRule type="cellIs" dxfId="0" priority="1" operator="greaterThan">
      <formula>0</formula>
    </cfRule>
  </conditionalFormatting>
  <conditionalFormatting sqref="C2:D2 I5:J999 P5:P9 H43:H44">
    <cfRule type="cellIs" dxfId="1" priority="2" operator="lessThan">
      <formula>0</formula>
    </cfRule>
  </conditionalFormatting>
  <conditionalFormatting sqref="C2:D2 I5:J999 P5:P9 H43:H44">
    <cfRule type="cellIs" dxfId="3" priority="3" operator="equal">
      <formula>0</formula>
    </cfRule>
  </conditionalFormatting>
  <conditionalFormatting sqref="C2:C42 B43:B44 C45:C999">
    <cfRule type="cellIs" dxfId="2" priority="4" operator="equal">
      <formula>0</formula>
    </cfRule>
  </conditionalFormatting>
  <dataValidations>
    <dataValidation type="list" allowBlank="1" sqref="B5:B25">
      <formula1>"Acciones,Cedear,Opciones,Opc Negociables,Bonos,FCI,FCI/Jardin,FCI/Cobertura,Letras"</formula1>
    </dataValidation>
    <dataValidation type="list" allowBlank="1" showErrorMessage="1" sqref="K5:K42 J43:J44">
      <formula1>"Eco,Ppi,Binance,Galicia"</formula1>
    </dataValidation>
    <dataValidation type="list" allowBlank="1" sqref="B26:B42">
      <formula1>"Acciones,Cedear,Opc/Futuros,ON,Bonos,FCI,Letras,Cripto"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6.25"/>
    <col customWidth="1" min="4" max="4" width="13.75"/>
    <col customWidth="1" min="5" max="5" width="20.0"/>
    <col customWidth="1" min="6" max="6" width="20.63"/>
    <col customWidth="1" min="7" max="7" width="18.25"/>
    <col customWidth="1" min="8" max="8" width="14.75"/>
    <col customWidth="1" min="9" max="9" width="15.25"/>
    <col customWidth="1" min="10" max="10" width="16.25"/>
    <col customWidth="1" min="11" max="11" width="13.88"/>
    <col customWidth="1" min="13" max="13" width="14.5"/>
    <col customWidth="1" min="16" max="16" width="14.0"/>
  </cols>
  <sheetData>
    <row r="1">
      <c r="A1" s="54" t="s">
        <v>101</v>
      </c>
      <c r="C1" s="55" t="s">
        <v>40</v>
      </c>
      <c r="D1" s="55" t="s">
        <v>41</v>
      </c>
      <c r="E1" s="55" t="s">
        <v>102</v>
      </c>
      <c r="F1" s="55" t="s">
        <v>103</v>
      </c>
      <c r="G1" s="26" t="s">
        <v>9</v>
      </c>
      <c r="H1" s="55" t="s">
        <v>104</v>
      </c>
      <c r="I1" s="55" t="s">
        <v>105</v>
      </c>
      <c r="M1" s="56" t="s">
        <v>1</v>
      </c>
      <c r="N1" s="9">
        <v>0.0</v>
      </c>
    </row>
    <row r="2">
      <c r="C2" s="31">
        <v>439491.1528748996</v>
      </c>
      <c r="D2" s="32">
        <v>0.04517191001510601</v>
      </c>
      <c r="E2" s="31">
        <v>9729301.96504712</v>
      </c>
      <c r="F2" s="57">
        <v>1.0168793117922021E7</v>
      </c>
      <c r="G2" s="52">
        <v>139000.0</v>
      </c>
      <c r="H2" s="57">
        <v>9868301.96504712</v>
      </c>
      <c r="I2" s="57">
        <v>1.0307793117922021E7</v>
      </c>
      <c r="M2" s="58" t="s">
        <v>2</v>
      </c>
      <c r="N2" s="9">
        <v>397929.0</v>
      </c>
    </row>
    <row r="3">
      <c r="J3" s="59"/>
      <c r="M3" s="56" t="s">
        <v>3</v>
      </c>
      <c r="N3" s="9">
        <v>51180.0</v>
      </c>
    </row>
    <row r="4">
      <c r="A4" s="26" t="s">
        <v>32</v>
      </c>
      <c r="B4" s="26" t="s">
        <v>34</v>
      </c>
      <c r="C4" s="26" t="s">
        <v>106</v>
      </c>
      <c r="D4" s="26" t="s">
        <v>107</v>
      </c>
      <c r="E4" s="26" t="s">
        <v>108</v>
      </c>
      <c r="F4" s="26" t="s">
        <v>109</v>
      </c>
      <c r="G4" s="26" t="s">
        <v>110</v>
      </c>
      <c r="H4" s="26" t="s">
        <v>111</v>
      </c>
      <c r="I4" s="26" t="s">
        <v>40</v>
      </c>
      <c r="J4" s="26" t="s">
        <v>41</v>
      </c>
      <c r="K4" s="26" t="s">
        <v>112</v>
      </c>
      <c r="L4" s="27"/>
      <c r="M4" s="58" t="s">
        <v>4</v>
      </c>
      <c r="N4" s="9">
        <v>461810.0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9" t="s">
        <v>44</v>
      </c>
      <c r="B5" s="28" t="s">
        <v>2</v>
      </c>
      <c r="C5" s="44">
        <v>15.0</v>
      </c>
      <c r="D5" s="32">
        <v>0.0011166516879950429</v>
      </c>
      <c r="E5" s="30">
        <v>984.0</v>
      </c>
      <c r="F5" s="31">
        <v>757.0</v>
      </c>
      <c r="G5" s="31">
        <v>14760.0</v>
      </c>
      <c r="H5" s="31">
        <v>11355.0</v>
      </c>
      <c r="I5" s="31">
        <v>-3405.0</v>
      </c>
      <c r="J5" s="32">
        <v>-0.2306910569105691</v>
      </c>
      <c r="K5" s="36" t="s">
        <v>114</v>
      </c>
      <c r="M5" s="56" t="s">
        <v>5</v>
      </c>
      <c r="N5" s="9">
        <v>341521.4</v>
      </c>
    </row>
    <row r="6">
      <c r="A6" s="33" t="s">
        <v>46</v>
      </c>
      <c r="B6" s="28" t="s">
        <v>2</v>
      </c>
      <c r="C6" s="44">
        <v>30.0</v>
      </c>
      <c r="D6" s="32">
        <v>6.224927507713449E-4</v>
      </c>
      <c r="E6" s="30">
        <v>371.26666666666665</v>
      </c>
      <c r="F6" s="31">
        <v>211.0</v>
      </c>
      <c r="G6" s="31">
        <v>11138.0</v>
      </c>
      <c r="H6" s="31">
        <v>6330.0</v>
      </c>
      <c r="I6" s="31">
        <v>-4808.0</v>
      </c>
      <c r="J6" s="32">
        <v>-0.43167534566349436</v>
      </c>
      <c r="K6" s="36" t="s">
        <v>114</v>
      </c>
      <c r="M6" s="56" t="s">
        <v>6</v>
      </c>
      <c r="N6" s="9">
        <v>6685655.857922021</v>
      </c>
    </row>
    <row r="7">
      <c r="A7" s="33" t="s">
        <v>47</v>
      </c>
      <c r="B7" s="28" t="s">
        <v>2</v>
      </c>
      <c r="C7" s="44">
        <v>20.0</v>
      </c>
      <c r="D7" s="32">
        <v>0.002950202610290734</v>
      </c>
      <c r="E7" s="30">
        <v>1740.0</v>
      </c>
      <c r="F7" s="31">
        <v>1500.0</v>
      </c>
      <c r="G7" s="31">
        <v>34800.0</v>
      </c>
      <c r="H7" s="31">
        <v>30000.0</v>
      </c>
      <c r="I7" s="31">
        <v>-4800.0</v>
      </c>
      <c r="J7" s="32">
        <v>-0.13793103448275862</v>
      </c>
      <c r="K7" s="36" t="s">
        <v>114</v>
      </c>
      <c r="M7" s="61" t="s">
        <v>7</v>
      </c>
      <c r="N7" s="9">
        <v>2205766.16</v>
      </c>
    </row>
    <row r="8">
      <c r="A8" s="33" t="s">
        <v>48</v>
      </c>
      <c r="B8" s="28" t="s">
        <v>2</v>
      </c>
      <c r="C8" s="44">
        <v>46.0</v>
      </c>
      <c r="D8" s="32">
        <v>6.514047363521941E-4</v>
      </c>
      <c r="E8" s="30">
        <v>232.2336956521739</v>
      </c>
      <c r="F8" s="31">
        <v>144.0</v>
      </c>
      <c r="G8" s="31">
        <v>10682.75</v>
      </c>
      <c r="H8" s="31">
        <v>6624.0</v>
      </c>
      <c r="I8" s="31">
        <v>-4058.75</v>
      </c>
      <c r="J8" s="32">
        <v>-0.3799349418454986</v>
      </c>
      <c r="K8" s="36" t="s">
        <v>114</v>
      </c>
      <c r="M8" s="61" t="s">
        <v>8</v>
      </c>
      <c r="N8" s="9">
        <v>24930.7</v>
      </c>
    </row>
    <row r="9">
      <c r="A9" s="33" t="s">
        <v>49</v>
      </c>
      <c r="B9" s="28" t="s">
        <v>2</v>
      </c>
      <c r="C9" s="44">
        <v>25.0</v>
      </c>
      <c r="D9" s="32">
        <v>0.003933603480387645</v>
      </c>
      <c r="E9" s="30">
        <v>1270.6</v>
      </c>
      <c r="F9" s="31">
        <v>1600.0</v>
      </c>
      <c r="G9" s="31">
        <v>31764.999999999996</v>
      </c>
      <c r="H9" s="31">
        <v>40000.0</v>
      </c>
      <c r="I9" s="31">
        <v>8235.000000000004</v>
      </c>
      <c r="J9" s="32">
        <v>0.25924759955926346</v>
      </c>
      <c r="K9" s="36" t="s">
        <v>114</v>
      </c>
      <c r="M9" s="62" t="s">
        <v>9</v>
      </c>
      <c r="N9" s="63">
        <v>29244.57</v>
      </c>
    </row>
    <row r="10">
      <c r="A10" s="33" t="s">
        <v>50</v>
      </c>
      <c r="B10" s="28" t="s">
        <v>2</v>
      </c>
      <c r="C10" s="44">
        <v>100.0</v>
      </c>
      <c r="D10" s="32">
        <v>0.002517506227448093</v>
      </c>
      <c r="E10" s="30">
        <v>394.0</v>
      </c>
      <c r="F10" s="31">
        <v>256.0</v>
      </c>
      <c r="G10" s="31">
        <v>39400.0</v>
      </c>
      <c r="H10" s="31">
        <v>25600.0</v>
      </c>
      <c r="I10" s="31">
        <v>-13800.0</v>
      </c>
      <c r="J10" s="32">
        <v>-0.350253807106599</v>
      </c>
      <c r="K10" s="36" t="s">
        <v>114</v>
      </c>
      <c r="M10" s="64" t="s">
        <v>10</v>
      </c>
      <c r="N10" s="65">
        <v>1.0198037687922021E7</v>
      </c>
    </row>
    <row r="11">
      <c r="A11" s="33" t="s">
        <v>51</v>
      </c>
      <c r="B11" s="28" t="s">
        <v>2</v>
      </c>
      <c r="C11" s="44">
        <v>20.0</v>
      </c>
      <c r="D11" s="32">
        <v>0.0070509842385948545</v>
      </c>
      <c r="E11" s="30">
        <v>4200.0</v>
      </c>
      <c r="F11" s="31">
        <v>3585.0</v>
      </c>
      <c r="G11" s="31">
        <v>84000.0</v>
      </c>
      <c r="H11" s="31">
        <v>71700.0</v>
      </c>
      <c r="I11" s="31">
        <v>-12300.0</v>
      </c>
      <c r="J11" s="32">
        <v>-0.14642857142857144</v>
      </c>
      <c r="K11" s="36" t="s">
        <v>114</v>
      </c>
    </row>
    <row r="12">
      <c r="A12" s="33" t="s">
        <v>52</v>
      </c>
      <c r="B12" s="28" t="s">
        <v>2</v>
      </c>
      <c r="C12" s="44">
        <v>7660.0</v>
      </c>
      <c r="D12" s="32">
        <v>0.01879446240903114</v>
      </c>
      <c r="E12" s="30">
        <v>40.0</v>
      </c>
      <c r="F12" s="31">
        <v>24.95</v>
      </c>
      <c r="G12" s="31">
        <v>306400.0</v>
      </c>
      <c r="H12" s="31">
        <v>191117.0</v>
      </c>
      <c r="I12" s="31">
        <v>-115283.0</v>
      </c>
      <c r="J12" s="32">
        <v>-0.37625</v>
      </c>
      <c r="K12" s="36" t="s">
        <v>114</v>
      </c>
      <c r="M12" s="61" t="s">
        <v>114</v>
      </c>
      <c r="N12" s="9">
        <v>940697.0</v>
      </c>
    </row>
    <row r="13">
      <c r="A13" s="38" t="s">
        <v>54</v>
      </c>
      <c r="B13" s="28" t="s">
        <v>2</v>
      </c>
      <c r="C13" s="44">
        <v>23.0</v>
      </c>
      <c r="D13" s="32">
        <v>0.0014950643428083344</v>
      </c>
      <c r="E13" s="30">
        <v>963.0</v>
      </c>
      <c r="F13" s="31">
        <v>661.0</v>
      </c>
      <c r="G13" s="31">
        <v>22149.0</v>
      </c>
      <c r="H13" s="31">
        <v>15203.0</v>
      </c>
      <c r="I13" s="31">
        <v>-6946.0</v>
      </c>
      <c r="J13" s="32">
        <v>-0.31360332294911736</v>
      </c>
      <c r="K13" s="36" t="s">
        <v>114</v>
      </c>
      <c r="M13" s="61" t="s">
        <v>115</v>
      </c>
      <c r="N13" s="9">
        <v>6068713.304383602</v>
      </c>
    </row>
    <row r="14">
      <c r="A14" s="38" t="s">
        <v>58</v>
      </c>
      <c r="B14" s="28" t="s">
        <v>4</v>
      </c>
      <c r="C14" s="44">
        <v>45.0</v>
      </c>
      <c r="D14" s="32">
        <v>0.007611522734550094</v>
      </c>
      <c r="E14" s="30">
        <v>1895.0</v>
      </c>
      <c r="F14" s="31">
        <v>1720.0</v>
      </c>
      <c r="G14" s="31">
        <v>85275.0</v>
      </c>
      <c r="H14" s="31">
        <v>77400.0</v>
      </c>
      <c r="I14" s="31">
        <v>-7875.0</v>
      </c>
      <c r="J14" s="32">
        <v>-0.09234828496042216</v>
      </c>
      <c r="K14" s="36" t="s">
        <v>114</v>
      </c>
      <c r="M14" s="61" t="s">
        <v>116</v>
      </c>
      <c r="N14" s="9">
        <v>24930.7</v>
      </c>
    </row>
    <row r="15">
      <c r="A15" s="35" t="s">
        <v>59</v>
      </c>
      <c r="B15" s="28" t="s">
        <v>4</v>
      </c>
      <c r="C15" s="44">
        <v>1.0</v>
      </c>
      <c r="D15" s="32">
        <v>0.00149968632689779</v>
      </c>
      <c r="E15" s="30">
        <v>11400.0</v>
      </c>
      <c r="F15" s="31">
        <v>15250.0</v>
      </c>
      <c r="G15" s="31">
        <v>11400.0</v>
      </c>
      <c r="H15" s="31">
        <v>15250.0</v>
      </c>
      <c r="I15" s="31">
        <v>3850.0</v>
      </c>
      <c r="J15" s="32">
        <v>0.33771929824561403</v>
      </c>
      <c r="K15" s="36" t="s">
        <v>114</v>
      </c>
      <c r="M15" s="61" t="s">
        <v>117</v>
      </c>
      <c r="N15" s="9">
        <v>3134452.11353842</v>
      </c>
    </row>
    <row r="16">
      <c r="A16" s="35" t="s">
        <v>60</v>
      </c>
      <c r="B16" s="28" t="s">
        <v>4</v>
      </c>
      <c r="C16" s="44">
        <v>5.0</v>
      </c>
      <c r="D16" s="32">
        <v>0.0036336662150080875</v>
      </c>
      <c r="E16" s="30">
        <v>7400.0</v>
      </c>
      <c r="F16" s="30">
        <v>7390.0</v>
      </c>
      <c r="G16" s="31">
        <v>37000.0</v>
      </c>
      <c r="H16" s="31">
        <v>36950.0</v>
      </c>
      <c r="I16" s="31">
        <v>-50.0</v>
      </c>
      <c r="J16" s="32">
        <v>-0.0013513513513513514</v>
      </c>
      <c r="K16" s="36" t="s">
        <v>114</v>
      </c>
      <c r="M16" s="64" t="s">
        <v>9</v>
      </c>
      <c r="N16" s="63">
        <v>107420.0</v>
      </c>
    </row>
    <row r="17">
      <c r="A17" s="35" t="s">
        <v>61</v>
      </c>
      <c r="B17" s="28" t="s">
        <v>4</v>
      </c>
      <c r="C17" s="44">
        <v>5.0</v>
      </c>
      <c r="D17" s="32">
        <v>0.002261822001222896</v>
      </c>
      <c r="E17" s="30">
        <v>5970.0</v>
      </c>
      <c r="F17" s="31">
        <v>4600.0</v>
      </c>
      <c r="G17" s="31">
        <v>29850.0</v>
      </c>
      <c r="H17" s="31">
        <v>23000.0</v>
      </c>
      <c r="I17" s="31">
        <v>-6850.0</v>
      </c>
      <c r="J17" s="32">
        <v>-0.22948073701842547</v>
      </c>
      <c r="K17" s="36" t="s">
        <v>114</v>
      </c>
      <c r="M17" s="64" t="s">
        <v>10</v>
      </c>
      <c r="N17" s="65">
        <v>1.0276213117922023E7</v>
      </c>
    </row>
    <row r="18">
      <c r="A18" s="38" t="s">
        <v>62</v>
      </c>
      <c r="B18" s="28" t="s">
        <v>4</v>
      </c>
      <c r="C18" s="44">
        <v>25.0</v>
      </c>
      <c r="D18" s="32">
        <v>0.008580172591595553</v>
      </c>
      <c r="E18" s="30">
        <v>3995.0</v>
      </c>
      <c r="F18" s="31">
        <v>3490.0</v>
      </c>
      <c r="G18" s="31">
        <v>99875.0</v>
      </c>
      <c r="H18" s="31">
        <v>87250.0</v>
      </c>
      <c r="I18" s="31">
        <v>-12625.0</v>
      </c>
      <c r="J18" s="32">
        <v>-0.12640801001251564</v>
      </c>
      <c r="K18" s="36" t="s">
        <v>114</v>
      </c>
    </row>
    <row r="19">
      <c r="A19" s="37" t="s">
        <v>63</v>
      </c>
      <c r="B19" s="28" t="s">
        <v>4</v>
      </c>
      <c r="C19" s="44">
        <v>1.0</v>
      </c>
      <c r="D19" s="32">
        <v>0.0020602248228530295</v>
      </c>
      <c r="E19" s="30">
        <v>17850.0</v>
      </c>
      <c r="F19" s="31">
        <v>20950.0</v>
      </c>
      <c r="G19" s="31">
        <v>17850.0</v>
      </c>
      <c r="H19" s="31">
        <v>20950.0</v>
      </c>
      <c r="I19" s="31">
        <v>3100.0</v>
      </c>
      <c r="J19" s="32">
        <v>0.17366946778711484</v>
      </c>
      <c r="K19" s="36" t="s">
        <v>114</v>
      </c>
      <c r="M19" s="72" t="s">
        <v>119</v>
      </c>
      <c r="N19" s="73"/>
    </row>
    <row r="20">
      <c r="A20" s="39" t="s">
        <v>64</v>
      </c>
      <c r="B20" s="28" t="s">
        <v>4</v>
      </c>
      <c r="C20" s="44">
        <v>1.0</v>
      </c>
      <c r="D20" s="32">
        <v>0.0016939079987419298</v>
      </c>
      <c r="E20" s="30">
        <v>15000.0</v>
      </c>
      <c r="F20" s="31">
        <v>17225.0</v>
      </c>
      <c r="G20" s="31">
        <v>15000.0</v>
      </c>
      <c r="H20" s="31">
        <v>17225.0</v>
      </c>
      <c r="I20" s="31">
        <v>2225.0</v>
      </c>
      <c r="J20" s="32">
        <v>0.14833333333333334</v>
      </c>
      <c r="K20" s="36" t="s">
        <v>114</v>
      </c>
      <c r="M20" s="56" t="s">
        <v>1</v>
      </c>
      <c r="N20" s="31">
        <v>0.0</v>
      </c>
    </row>
    <row r="21">
      <c r="A21" s="37" t="s">
        <v>65</v>
      </c>
      <c r="B21" s="28" t="s">
        <v>4</v>
      </c>
      <c r="C21" s="44">
        <v>9.0</v>
      </c>
      <c r="D21" s="32">
        <v>0.002810067986301924</v>
      </c>
      <c r="E21" s="30">
        <v>3655.0</v>
      </c>
      <c r="F21" s="31">
        <v>3175.0</v>
      </c>
      <c r="G21" s="31">
        <v>32895.0</v>
      </c>
      <c r="H21" s="31">
        <v>28575.0</v>
      </c>
      <c r="I21" s="31">
        <v>-4320.0</v>
      </c>
      <c r="J21" s="32">
        <v>-0.13132694938440492</v>
      </c>
      <c r="K21" s="36" t="s">
        <v>114</v>
      </c>
      <c r="M21" s="58" t="s">
        <v>2</v>
      </c>
      <c r="N21" s="31">
        <v>-40985.0</v>
      </c>
    </row>
    <row r="22">
      <c r="A22" s="39" t="s">
        <v>66</v>
      </c>
      <c r="B22" s="28" t="s">
        <v>4</v>
      </c>
      <c r="C22" s="44">
        <v>1.0</v>
      </c>
      <c r="D22" s="32">
        <v>0.001809457600978317</v>
      </c>
      <c r="E22" s="30">
        <v>17775.0</v>
      </c>
      <c r="F22" s="31">
        <v>18400.0</v>
      </c>
      <c r="G22" s="31">
        <v>17775.0</v>
      </c>
      <c r="H22" s="31">
        <v>18400.0</v>
      </c>
      <c r="I22" s="31">
        <v>625.0</v>
      </c>
      <c r="J22" s="32">
        <v>0.035161744022503515</v>
      </c>
      <c r="K22" s="36" t="s">
        <v>114</v>
      </c>
      <c r="M22" s="56" t="s">
        <v>3</v>
      </c>
      <c r="N22" s="31">
        <v>-118520.0</v>
      </c>
    </row>
    <row r="23">
      <c r="A23" s="35" t="s">
        <v>67</v>
      </c>
      <c r="B23" s="28" t="s">
        <v>4</v>
      </c>
      <c r="C23" s="44">
        <v>1.0</v>
      </c>
      <c r="D23" s="32">
        <v>6.893640099379348E-4</v>
      </c>
      <c r="E23" s="30">
        <v>7790.0</v>
      </c>
      <c r="F23" s="31">
        <v>7010.0</v>
      </c>
      <c r="G23" s="31">
        <v>7790.0</v>
      </c>
      <c r="H23" s="31">
        <v>7010.0</v>
      </c>
      <c r="I23" s="31">
        <v>-780.0</v>
      </c>
      <c r="J23" s="32">
        <v>-0.10012836970474968</v>
      </c>
      <c r="K23" s="36" t="s">
        <v>114</v>
      </c>
      <c r="M23" s="58" t="s">
        <v>4</v>
      </c>
      <c r="N23" s="31">
        <v>3155.0</v>
      </c>
    </row>
    <row r="24">
      <c r="A24" s="38" t="s">
        <v>68</v>
      </c>
      <c r="B24" s="28" t="s">
        <v>4</v>
      </c>
      <c r="C24" s="44">
        <v>2.0</v>
      </c>
      <c r="D24" s="32">
        <v>0.006967395164636617</v>
      </c>
      <c r="E24" s="30">
        <v>35825.0</v>
      </c>
      <c r="F24" s="31">
        <v>35425.0</v>
      </c>
      <c r="G24" s="31">
        <v>71650.0</v>
      </c>
      <c r="H24" s="31">
        <v>70850.0</v>
      </c>
      <c r="I24" s="31">
        <v>-800.0</v>
      </c>
      <c r="J24" s="32">
        <v>-0.011165387299371946</v>
      </c>
      <c r="K24" s="36" t="s">
        <v>114</v>
      </c>
      <c r="M24" s="56" t="s">
        <v>5</v>
      </c>
      <c r="N24" s="31">
        <v>8641.400000000023</v>
      </c>
    </row>
    <row r="25">
      <c r="A25" s="35" t="s">
        <v>70</v>
      </c>
      <c r="B25" s="28" t="s">
        <v>4</v>
      </c>
      <c r="C25" s="44">
        <v>3.0</v>
      </c>
      <c r="D25" s="32">
        <v>0.005797148129221293</v>
      </c>
      <c r="E25" s="30">
        <v>21041.666666666668</v>
      </c>
      <c r="F25" s="31">
        <v>19650.0</v>
      </c>
      <c r="G25" s="31">
        <v>63125.0</v>
      </c>
      <c r="H25" s="31">
        <v>58950.0</v>
      </c>
      <c r="I25" s="31">
        <v>-4175.0</v>
      </c>
      <c r="J25" s="32">
        <v>-0.06613861386138614</v>
      </c>
      <c r="K25" s="36" t="s">
        <v>114</v>
      </c>
      <c r="M25" s="56" t="s">
        <v>6</v>
      </c>
      <c r="N25" s="31">
        <v>136044.04720006883</v>
      </c>
    </row>
    <row r="26">
      <c r="A26" s="36" t="s">
        <v>55</v>
      </c>
      <c r="B26" s="28" t="s">
        <v>3</v>
      </c>
      <c r="C26" s="44">
        <v>60.0</v>
      </c>
      <c r="D26" s="32">
        <v>0.005033045653155993</v>
      </c>
      <c r="E26" s="30">
        <v>740.0</v>
      </c>
      <c r="F26" s="30">
        <v>853.0</v>
      </c>
      <c r="G26" s="31">
        <v>44400.0</v>
      </c>
      <c r="H26" s="31">
        <v>51180.0</v>
      </c>
      <c r="I26" s="31">
        <v>6780.0</v>
      </c>
      <c r="J26" s="32">
        <v>0.1527027027027027</v>
      </c>
      <c r="K26" s="36" t="s">
        <v>114</v>
      </c>
      <c r="M26" s="61" t="s">
        <v>7</v>
      </c>
      <c r="N26" s="31">
        <v>20653.13400000008</v>
      </c>
    </row>
    <row r="27">
      <c r="A27" s="36" t="s">
        <v>80</v>
      </c>
      <c r="B27" s="28" t="s">
        <v>5</v>
      </c>
      <c r="C27" s="44">
        <v>12.0</v>
      </c>
      <c r="D27" s="32">
        <v>7.646925165873583E-4</v>
      </c>
      <c r="E27" s="30">
        <v>1169.0</v>
      </c>
      <c r="F27" s="30">
        <v>648.0</v>
      </c>
      <c r="G27" s="31">
        <v>14028.0</v>
      </c>
      <c r="H27" s="31">
        <v>7776.0</v>
      </c>
      <c r="I27" s="31">
        <v>-6252.0</v>
      </c>
      <c r="J27" s="32">
        <v>-0.44568006843455943</v>
      </c>
      <c r="K27" s="36" t="s">
        <v>114</v>
      </c>
      <c r="M27" s="56" t="s">
        <v>8</v>
      </c>
      <c r="N27" s="31">
        <v>1063.7000000000007</v>
      </c>
    </row>
    <row r="28">
      <c r="A28" s="36" t="s">
        <v>71</v>
      </c>
      <c r="B28" s="28" t="s">
        <v>5</v>
      </c>
      <c r="C28" s="44">
        <v>19.0</v>
      </c>
      <c r="D28" s="32">
        <v>0.0021636785943872244</v>
      </c>
      <c r="E28" s="30">
        <v>1670.7894736842106</v>
      </c>
      <c r="F28" s="30">
        <v>1158.0</v>
      </c>
      <c r="G28" s="31">
        <v>31745.000000000004</v>
      </c>
      <c r="H28" s="31">
        <v>22002.0</v>
      </c>
      <c r="I28" s="31">
        <v>-9743.000000000004</v>
      </c>
      <c r="J28" s="32">
        <v>-0.3069144747204285</v>
      </c>
      <c r="K28" s="36" t="s">
        <v>114</v>
      </c>
    </row>
    <row r="29">
      <c r="A29" s="41" t="s">
        <v>94</v>
      </c>
      <c r="B29" s="28" t="s">
        <v>5</v>
      </c>
      <c r="C29" s="44">
        <v>98.0</v>
      </c>
      <c r="D29" s="32">
        <v>0.008676486872812843</v>
      </c>
      <c r="E29" s="30">
        <v>1135.0</v>
      </c>
      <c r="F29" s="30">
        <v>900.3</v>
      </c>
      <c r="G29" s="31">
        <v>111230.0</v>
      </c>
      <c r="H29" s="31">
        <v>88229.4</v>
      </c>
      <c r="I29" s="31">
        <v>-23000.600000000006</v>
      </c>
      <c r="J29" s="32">
        <v>-0.20678414096916306</v>
      </c>
      <c r="K29" s="36" t="s">
        <v>115</v>
      </c>
    </row>
    <row r="30">
      <c r="A30" s="41" t="s">
        <v>92</v>
      </c>
      <c r="B30" s="28" t="s">
        <v>5</v>
      </c>
      <c r="C30" s="44">
        <v>99.0</v>
      </c>
      <c r="D30" s="32">
        <v>0.011215490243281254</v>
      </c>
      <c r="E30" s="30">
        <v>1315.0625</v>
      </c>
      <c r="F30" s="30">
        <v>1152.0</v>
      </c>
      <c r="G30" s="31">
        <v>130191.1875</v>
      </c>
      <c r="H30" s="31">
        <v>114048.0</v>
      </c>
      <c r="I30" s="31">
        <v>-16143.1875</v>
      </c>
      <c r="J30" s="32">
        <v>-0.12399600779430635</v>
      </c>
      <c r="K30" s="36" t="s">
        <v>115</v>
      </c>
    </row>
    <row r="31">
      <c r="A31" s="41" t="s">
        <v>93</v>
      </c>
      <c r="B31" s="28" t="s">
        <v>5</v>
      </c>
      <c r="C31" s="44">
        <v>98.0</v>
      </c>
      <c r="D31" s="32">
        <v>0.01076489596460285</v>
      </c>
      <c r="E31" s="30">
        <v>1197.8</v>
      </c>
      <c r="F31" s="30">
        <v>1117.0</v>
      </c>
      <c r="G31" s="31">
        <v>117384.4</v>
      </c>
      <c r="H31" s="31">
        <v>109466.0</v>
      </c>
      <c r="I31" s="31">
        <v>-7918.399999999994</v>
      </c>
      <c r="J31" s="32">
        <v>-0.06745700450826511</v>
      </c>
      <c r="K31" s="36" t="s">
        <v>115</v>
      </c>
    </row>
    <row r="32">
      <c r="A32" s="36" t="s">
        <v>90</v>
      </c>
      <c r="B32" s="28" t="s">
        <v>6</v>
      </c>
      <c r="C32" s="44">
        <v>38715.0435</v>
      </c>
      <c r="D32" s="32">
        <v>0.051686719648698476</v>
      </c>
      <c r="E32" s="30">
        <v>12.9</v>
      </c>
      <c r="F32" s="30">
        <v>13.5759</v>
      </c>
      <c r="G32" s="31">
        <v>499424.06115</v>
      </c>
      <c r="H32" s="31">
        <v>525591.55905165</v>
      </c>
      <c r="I32" s="31">
        <v>26167.49790164997</v>
      </c>
      <c r="J32" s="32">
        <v>0.05239534883720924</v>
      </c>
      <c r="K32" s="36" t="s">
        <v>115</v>
      </c>
    </row>
    <row r="33">
      <c r="A33" s="41" t="s">
        <v>72</v>
      </c>
      <c r="B33" s="28" t="s">
        <v>6</v>
      </c>
      <c r="C33" s="44">
        <v>10501.993</v>
      </c>
      <c r="D33" s="32">
        <v>0.12328623950147648</v>
      </c>
      <c r="E33" s="30">
        <v>104.14000000000001</v>
      </c>
      <c r="F33" s="30">
        <v>119.3747</v>
      </c>
      <c r="G33" s="31">
        <v>1093677.5510200001</v>
      </c>
      <c r="H33" s="31">
        <v>1253672.2637771</v>
      </c>
      <c r="I33" s="31">
        <v>159994.7127570999</v>
      </c>
      <c r="J33" s="32">
        <v>0.1462905703860187</v>
      </c>
      <c r="K33" s="36" t="s">
        <v>115</v>
      </c>
    </row>
    <row r="34">
      <c r="A34" s="66" t="s">
        <v>73</v>
      </c>
      <c r="B34" s="28" t="s">
        <v>6</v>
      </c>
      <c r="C34" s="44">
        <v>120.775</v>
      </c>
      <c r="D34" s="32">
        <v>0.011487374481945457</v>
      </c>
      <c r="E34" s="30">
        <v>1067.0</v>
      </c>
      <c r="F34" s="30">
        <v>967.193</v>
      </c>
      <c r="G34" s="31">
        <v>128866.925</v>
      </c>
      <c r="H34" s="31">
        <v>116812.73457500001</v>
      </c>
      <c r="I34" s="31">
        <v>-12054.190424999993</v>
      </c>
      <c r="J34" s="32">
        <v>-0.09353983130271784</v>
      </c>
      <c r="K34" s="36" t="s">
        <v>115</v>
      </c>
    </row>
    <row r="35">
      <c r="A35" s="66" t="s">
        <v>83</v>
      </c>
      <c r="B35" s="28" t="s">
        <v>6</v>
      </c>
      <c r="C35" s="44">
        <v>93074.373</v>
      </c>
      <c r="D35" s="32">
        <v>0.05238411730638622</v>
      </c>
      <c r="E35" s="30">
        <v>5.34195</v>
      </c>
      <c r="F35" s="30">
        <v>5.7232</v>
      </c>
      <c r="G35" s="31">
        <v>497198.64684735</v>
      </c>
      <c r="H35" s="31">
        <v>532683.2515536001</v>
      </c>
      <c r="I35" s="31">
        <v>35484.60470625007</v>
      </c>
      <c r="J35" s="32">
        <v>0.07136906934733586</v>
      </c>
      <c r="K35" s="36" t="s">
        <v>115</v>
      </c>
    </row>
    <row r="36">
      <c r="A36" s="36" t="s">
        <v>84</v>
      </c>
      <c r="B36" s="28" t="s">
        <v>6</v>
      </c>
      <c r="C36" s="44">
        <v>13039.771086</v>
      </c>
      <c r="D36" s="32">
        <v>0.11038123427331767</v>
      </c>
      <c r="E36" s="30">
        <v>80.36389159475553</v>
      </c>
      <c r="F36" s="30">
        <v>86.0785</v>
      </c>
      <c r="G36" s="31">
        <v>1047926.7499757316</v>
      </c>
      <c r="H36" s="31">
        <v>1122443.935426251</v>
      </c>
      <c r="I36" s="31">
        <v>74517.18545051944</v>
      </c>
      <c r="J36" s="32">
        <v>0.07110915476892363</v>
      </c>
      <c r="K36" s="36" t="s">
        <v>115</v>
      </c>
    </row>
    <row r="37">
      <c r="A37" s="36" t="s">
        <v>87</v>
      </c>
      <c r="B37" s="28" t="s">
        <v>6</v>
      </c>
      <c r="C37" s="44">
        <v>2374.82</v>
      </c>
      <c r="D37" s="32">
        <v>0.10505618836580329</v>
      </c>
      <c r="E37" s="30">
        <v>421.085741</v>
      </c>
      <c r="F37" s="30">
        <v>449.842365</v>
      </c>
      <c r="G37" s="31">
        <v>1000002.83944162</v>
      </c>
      <c r="H37" s="31">
        <v>1068294.6452493</v>
      </c>
      <c r="I37" s="31">
        <v>68291.80580767989</v>
      </c>
      <c r="J37" s="32">
        <v>0.06829161189763477</v>
      </c>
      <c r="K37" s="36" t="s">
        <v>117</v>
      </c>
    </row>
    <row r="38">
      <c r="A38" s="36" t="s">
        <v>86</v>
      </c>
      <c r="B38" s="28" t="s">
        <v>6</v>
      </c>
      <c r="C38" s="44">
        <v>9615.98</v>
      </c>
      <c r="D38" s="32">
        <v>0.10521219939104719</v>
      </c>
      <c r="E38" s="30">
        <v>103.993638</v>
      </c>
      <c r="F38" s="30">
        <v>111.260744</v>
      </c>
      <c r="G38" s="31">
        <v>1000000.74313524</v>
      </c>
      <c r="H38" s="31">
        <v>1069881.08908912</v>
      </c>
      <c r="I38" s="31">
        <v>69880.34595388</v>
      </c>
      <c r="J38" s="32">
        <v>0.06988029402337093</v>
      </c>
      <c r="K38" s="36" t="s">
        <v>117</v>
      </c>
    </row>
    <row r="39">
      <c r="A39" s="36" t="s">
        <v>85</v>
      </c>
      <c r="B39" s="28" t="s">
        <v>6</v>
      </c>
      <c r="C39" s="44">
        <v>15844.09</v>
      </c>
      <c r="D39" s="32">
        <v>0.09797390581622806</v>
      </c>
      <c r="E39" s="30">
        <v>60.20324452696116</v>
      </c>
      <c r="F39" s="30">
        <v>62.88</v>
      </c>
      <c r="G39" s="31">
        <v>953865.62457718</v>
      </c>
      <c r="H39" s="31">
        <v>996276.3792000001</v>
      </c>
      <c r="I39" s="31">
        <v>42410.754622820066</v>
      </c>
      <c r="J39" s="32">
        <v>0.04446198031470049</v>
      </c>
      <c r="K39" s="36" t="s">
        <v>117</v>
      </c>
    </row>
    <row r="40">
      <c r="A40" s="36" t="s">
        <v>89</v>
      </c>
      <c r="B40" s="28" t="s">
        <v>7</v>
      </c>
      <c r="C40" s="44">
        <v>857590.0</v>
      </c>
      <c r="D40" s="32">
        <v>0.11533719590901347</v>
      </c>
      <c r="E40" s="30">
        <v>-0.004083566272927683</v>
      </c>
      <c r="F40" s="30">
        <v>1.3676</v>
      </c>
      <c r="G40" s="31">
        <v>-3502.025600000052</v>
      </c>
      <c r="H40" s="31">
        <v>1172840.084</v>
      </c>
      <c r="I40" s="31">
        <v>1176342.1096</v>
      </c>
      <c r="J40" s="32">
        <v>-335.90334393899997</v>
      </c>
      <c r="K40" s="36" t="s">
        <v>115</v>
      </c>
    </row>
    <row r="41">
      <c r="A41" s="36" t="s">
        <v>95</v>
      </c>
      <c r="B41" s="28" t="s">
        <v>7</v>
      </c>
      <c r="C41" s="44">
        <v>732312.0</v>
      </c>
      <c r="D41" s="32">
        <v>0.10157804018841886</v>
      </c>
      <c r="E41" s="30">
        <v>2.726</v>
      </c>
      <c r="F41" s="30">
        <v>1.4105</v>
      </c>
      <c r="G41" s="31">
        <v>1996282.5119999999</v>
      </c>
      <c r="H41" s="31">
        <v>1032926.0760000001</v>
      </c>
      <c r="I41" s="31">
        <v>-963356.4359999998</v>
      </c>
      <c r="J41" s="32">
        <v>-0.48257520176082164</v>
      </c>
      <c r="K41" s="36" t="s">
        <v>115</v>
      </c>
    </row>
    <row r="42">
      <c r="A42" s="36" t="s">
        <v>77</v>
      </c>
      <c r="B42" s="28" t="s">
        <v>8</v>
      </c>
      <c r="C42" s="67">
        <v>1.0</v>
      </c>
      <c r="D42" s="32">
        <v>0.002451687207212507</v>
      </c>
      <c r="E42" s="30">
        <v>22000.0</v>
      </c>
      <c r="F42" s="30">
        <v>24930.7</v>
      </c>
      <c r="G42" s="31">
        <v>22000.0</v>
      </c>
      <c r="H42" s="31">
        <v>24930.7</v>
      </c>
      <c r="I42" s="31">
        <v>2930.7000000000007</v>
      </c>
      <c r="J42" s="32">
        <v>0.1332136363636364</v>
      </c>
      <c r="K42" s="36" t="s">
        <v>116</v>
      </c>
    </row>
    <row r="43">
      <c r="A43" s="16"/>
      <c r="B43" s="68"/>
      <c r="C43" s="69"/>
      <c r="D43" s="70"/>
      <c r="E43" s="70"/>
      <c r="F43" s="71"/>
      <c r="G43" s="71"/>
      <c r="H43" s="71"/>
      <c r="I43" s="69"/>
      <c r="J43" s="16"/>
    </row>
    <row r="44">
      <c r="A44" s="16"/>
      <c r="B44" s="68"/>
      <c r="C44" s="69"/>
      <c r="D44" s="70"/>
      <c r="E44" s="70"/>
      <c r="F44" s="71"/>
      <c r="G44" s="71"/>
      <c r="H44" s="71"/>
      <c r="I44" s="69"/>
      <c r="J44" s="16"/>
    </row>
  </sheetData>
  <mergeCells count="1">
    <mergeCell ref="M19:N19"/>
  </mergeCells>
  <conditionalFormatting sqref="C2:D2 I5:J999 N20:N27 H43:H44">
    <cfRule type="cellIs" dxfId="0" priority="1" operator="greaterThan">
      <formula>0</formula>
    </cfRule>
  </conditionalFormatting>
  <conditionalFormatting sqref="C2:D2 I5:J999 N20:N27 H43:H44">
    <cfRule type="cellIs" dxfId="1" priority="2" operator="lessThan">
      <formula>0</formula>
    </cfRule>
  </conditionalFormatting>
  <conditionalFormatting sqref="C2:D2 I5:J999 N20:N27 H43:H44">
    <cfRule type="cellIs" dxfId="3" priority="3" operator="equal">
      <formula>0</formula>
    </cfRule>
  </conditionalFormatting>
  <conditionalFormatting sqref="C2:C42 B43:B44 C45:C999">
    <cfRule type="cellIs" dxfId="2" priority="4" operator="equal">
      <formula>0</formula>
    </cfRule>
  </conditionalFormatting>
  <dataValidations>
    <dataValidation type="list" allowBlank="1" sqref="B5:B25">
      <formula1>"Acciones,Cedear,Opciones,Opc Negociables,Bonos,FCI,FCI/Jardin,FCI/Cobertura,Letras"</formula1>
    </dataValidation>
    <dataValidation type="list" allowBlank="1" showErrorMessage="1" sqref="K5:K42 J43:J44">
      <formula1>"Eco,Ppi,Binance,Galicia"</formula1>
    </dataValidation>
    <dataValidation type="list" allowBlank="1" sqref="B26:B42">
      <formula1>"Acciones,Cedear,Opc/Futuros,ON,Bonos,FCI,Letras,Cripto"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6.25"/>
    <col customWidth="1" min="4" max="4" width="13.75"/>
    <col customWidth="1" min="5" max="5" width="20.0"/>
    <col customWidth="1" min="6" max="6" width="20.63"/>
    <col customWidth="1" min="7" max="7" width="18.25"/>
    <col customWidth="1" min="8" max="8" width="14.75"/>
    <col customWidth="1" min="9" max="9" width="15.25"/>
    <col customWidth="1" min="10" max="10" width="16.25"/>
    <col customWidth="1" min="11" max="11" width="13.88"/>
    <col customWidth="1" min="13" max="13" width="14.5"/>
  </cols>
  <sheetData>
    <row r="1">
      <c r="A1" s="54" t="s">
        <v>101</v>
      </c>
      <c r="C1" s="55" t="s">
        <v>40</v>
      </c>
      <c r="D1" s="55" t="s">
        <v>41</v>
      </c>
      <c r="E1" s="55" t="s">
        <v>102</v>
      </c>
      <c r="F1" s="55" t="s">
        <v>103</v>
      </c>
      <c r="G1" s="26" t="s">
        <v>9</v>
      </c>
      <c r="H1" s="55" t="s">
        <v>104</v>
      </c>
      <c r="I1" s="55" t="s">
        <v>105</v>
      </c>
      <c r="M1" s="56" t="s">
        <v>1</v>
      </c>
      <c r="N1" s="9">
        <v>0.0</v>
      </c>
    </row>
    <row r="2">
      <c r="C2" s="31">
        <v>305281.871674831</v>
      </c>
      <c r="D2" s="32">
        <v>0.030982203585334878</v>
      </c>
      <c r="E2" s="31">
        <v>9853458.96504712</v>
      </c>
      <c r="F2" s="57">
        <v>1.0158740836721951E7</v>
      </c>
      <c r="G2" s="52">
        <v>161000.0</v>
      </c>
      <c r="H2" s="57">
        <v>1.001445896504712E7</v>
      </c>
      <c r="I2" s="57">
        <v>1.0319740836721951E7</v>
      </c>
      <c r="M2" s="58" t="s">
        <v>2</v>
      </c>
      <c r="N2" s="9">
        <v>438914.0</v>
      </c>
    </row>
    <row r="3">
      <c r="J3" s="59"/>
      <c r="M3" s="56" t="s">
        <v>3</v>
      </c>
      <c r="N3" s="9">
        <v>169700.0</v>
      </c>
    </row>
    <row r="4">
      <c r="A4" s="26" t="s">
        <v>32</v>
      </c>
      <c r="B4" s="26" t="s">
        <v>34</v>
      </c>
      <c r="C4" s="26" t="s">
        <v>106</v>
      </c>
      <c r="D4" s="26" t="s">
        <v>107</v>
      </c>
      <c r="E4" s="26" t="s">
        <v>108</v>
      </c>
      <c r="F4" s="26" t="s">
        <v>109</v>
      </c>
      <c r="G4" s="26" t="s">
        <v>110</v>
      </c>
      <c r="H4" s="26" t="s">
        <v>111</v>
      </c>
      <c r="I4" s="26" t="s">
        <v>40</v>
      </c>
      <c r="J4" s="26" t="s">
        <v>41</v>
      </c>
      <c r="K4" s="26" t="s">
        <v>112</v>
      </c>
      <c r="L4" s="27"/>
      <c r="M4" s="58" t="s">
        <v>4</v>
      </c>
      <c r="N4" s="9">
        <v>458655.0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9" t="s">
        <v>44</v>
      </c>
      <c r="B5" s="28" t="s">
        <v>2</v>
      </c>
      <c r="C5" s="44">
        <v>15.0</v>
      </c>
      <c r="D5" s="32">
        <v>9.789599085007349E-4</v>
      </c>
      <c r="E5" s="30">
        <v>984.0</v>
      </c>
      <c r="F5" s="30">
        <v>663.0</v>
      </c>
      <c r="G5" s="31">
        <v>14760.0</v>
      </c>
      <c r="H5" s="31">
        <v>9945.0</v>
      </c>
      <c r="I5" s="31">
        <v>-4815.0</v>
      </c>
      <c r="J5" s="32">
        <v>-0.32621951219512196</v>
      </c>
      <c r="K5" s="36" t="s">
        <v>114</v>
      </c>
      <c r="M5" s="56" t="s">
        <v>5</v>
      </c>
      <c r="N5" s="9">
        <v>332880.0</v>
      </c>
    </row>
    <row r="6">
      <c r="A6" s="33" t="s">
        <v>46</v>
      </c>
      <c r="B6" s="28" t="s">
        <v>2</v>
      </c>
      <c r="C6" s="44">
        <v>30.0</v>
      </c>
      <c r="D6" s="32">
        <v>0.0011605769051004186</v>
      </c>
      <c r="E6" s="30">
        <v>371.26666666666665</v>
      </c>
      <c r="F6" s="30">
        <v>393.0</v>
      </c>
      <c r="G6" s="31">
        <v>11138.0</v>
      </c>
      <c r="H6" s="31">
        <v>11790.0</v>
      </c>
      <c r="I6" s="31">
        <v>652.0</v>
      </c>
      <c r="J6" s="32">
        <v>0.058538337223918116</v>
      </c>
      <c r="K6" s="36" t="s">
        <v>114</v>
      </c>
      <c r="M6" s="56" t="s">
        <v>6</v>
      </c>
      <c r="N6" s="9">
        <v>6549611.8107219525</v>
      </c>
    </row>
    <row r="7">
      <c r="A7" s="33" t="s">
        <v>47</v>
      </c>
      <c r="B7" s="28" t="s">
        <v>2</v>
      </c>
      <c r="C7" s="44">
        <v>20.0</v>
      </c>
      <c r="D7" s="32">
        <v>0.0028940594580112223</v>
      </c>
      <c r="E7" s="30">
        <v>1740.0</v>
      </c>
      <c r="F7" s="30">
        <v>1470.0</v>
      </c>
      <c r="G7" s="31">
        <v>34800.0</v>
      </c>
      <c r="H7" s="31">
        <v>29400.0</v>
      </c>
      <c r="I7" s="31">
        <v>-5400.0</v>
      </c>
      <c r="J7" s="32">
        <v>-0.15517241379310345</v>
      </c>
      <c r="K7" s="36" t="s">
        <v>114</v>
      </c>
      <c r="M7" s="61" t="s">
        <v>7</v>
      </c>
      <c r="N7" s="9">
        <v>2185113.026</v>
      </c>
    </row>
    <row r="8">
      <c r="A8" s="33" t="s">
        <v>48</v>
      </c>
      <c r="B8" s="28" t="s">
        <v>2</v>
      </c>
      <c r="C8" s="44">
        <v>46.0</v>
      </c>
      <c r="D8" s="32">
        <v>6.49785254501091E-4</v>
      </c>
      <c r="E8" s="30">
        <v>232.2336956521739</v>
      </c>
      <c r="F8" s="31">
        <v>143.5</v>
      </c>
      <c r="G8" s="31">
        <v>10682.75</v>
      </c>
      <c r="H8" s="31">
        <v>6601.0</v>
      </c>
      <c r="I8" s="31">
        <v>-4081.75</v>
      </c>
      <c r="J8" s="32">
        <v>-0.38208794551964614</v>
      </c>
      <c r="K8" s="36" t="s">
        <v>114</v>
      </c>
      <c r="M8" s="61" t="s">
        <v>8</v>
      </c>
      <c r="N8" s="9">
        <v>23867.0</v>
      </c>
    </row>
    <row r="9">
      <c r="A9" s="33" t="s">
        <v>49</v>
      </c>
      <c r="B9" s="28" t="s">
        <v>2</v>
      </c>
      <c r="C9" s="44">
        <v>25.0</v>
      </c>
      <c r="D9" s="32">
        <v>0.0051187446196116855</v>
      </c>
      <c r="E9" s="30">
        <v>1270.6</v>
      </c>
      <c r="F9" s="30">
        <v>2080.0</v>
      </c>
      <c r="G9" s="31">
        <v>31764.999999999996</v>
      </c>
      <c r="H9" s="31">
        <v>52000.0</v>
      </c>
      <c r="I9" s="31">
        <v>20235.000000000004</v>
      </c>
      <c r="J9" s="32">
        <v>0.6370218794270426</v>
      </c>
      <c r="K9" s="36" t="s">
        <v>114</v>
      </c>
      <c r="M9" s="62" t="s">
        <v>9</v>
      </c>
      <c r="N9" s="63">
        <v>107420.0</v>
      </c>
    </row>
    <row r="10">
      <c r="A10" s="33" t="s">
        <v>50</v>
      </c>
      <c r="B10" s="28" t="s">
        <v>2</v>
      </c>
      <c r="C10" s="44">
        <v>100.0</v>
      </c>
      <c r="D10" s="32">
        <v>0.0026085910080713396</v>
      </c>
      <c r="E10" s="30">
        <v>394.0</v>
      </c>
      <c r="F10" s="30">
        <v>265.0</v>
      </c>
      <c r="G10" s="31">
        <v>39400.0</v>
      </c>
      <c r="H10" s="31">
        <v>26500.0</v>
      </c>
      <c r="I10" s="31">
        <v>-12900.0</v>
      </c>
      <c r="J10" s="32">
        <v>-0.32741116751269034</v>
      </c>
      <c r="K10" s="36" t="s">
        <v>114</v>
      </c>
      <c r="M10" s="64" t="s">
        <v>10</v>
      </c>
      <c r="N10" s="65">
        <v>1.0266160836721953E7</v>
      </c>
    </row>
    <row r="11">
      <c r="A11" s="33" t="s">
        <v>51</v>
      </c>
      <c r="B11" s="28" t="s">
        <v>2</v>
      </c>
      <c r="C11" s="44">
        <v>20.0</v>
      </c>
      <c r="D11" s="32">
        <v>0.007628898231152031</v>
      </c>
      <c r="E11" s="30">
        <v>4200.0</v>
      </c>
      <c r="F11" s="30">
        <v>3875.0</v>
      </c>
      <c r="G11" s="31">
        <v>84000.0</v>
      </c>
      <c r="H11" s="31">
        <v>77500.0</v>
      </c>
      <c r="I11" s="31">
        <v>-6500.0</v>
      </c>
      <c r="J11" s="32">
        <v>-0.07738095238095238</v>
      </c>
      <c r="K11" s="36" t="s">
        <v>114</v>
      </c>
    </row>
    <row r="12">
      <c r="A12" s="33" t="s">
        <v>52</v>
      </c>
      <c r="B12" s="28" t="s">
        <v>2</v>
      </c>
      <c r="C12" s="44">
        <v>7660.0</v>
      </c>
      <c r="D12" s="32">
        <v>0.020773539102125246</v>
      </c>
      <c r="E12" s="30">
        <v>40.0</v>
      </c>
      <c r="F12" s="31">
        <v>27.55</v>
      </c>
      <c r="G12" s="31">
        <v>306400.0</v>
      </c>
      <c r="H12" s="31">
        <v>211033.0</v>
      </c>
      <c r="I12" s="31">
        <v>-95367.0</v>
      </c>
      <c r="J12" s="32">
        <v>-0.31125</v>
      </c>
      <c r="K12" s="36" t="s">
        <v>114</v>
      </c>
      <c r="M12" s="61" t="s">
        <v>114</v>
      </c>
      <c r="N12" s="9">
        <v>1096911.0</v>
      </c>
    </row>
    <row r="13">
      <c r="A13" s="38" t="s">
        <v>54</v>
      </c>
      <c r="B13" s="28" t="s">
        <v>2</v>
      </c>
      <c r="C13" s="44">
        <v>23.0</v>
      </c>
      <c r="D13" s="32">
        <v>0.0013923969739309094</v>
      </c>
      <c r="E13" s="30">
        <v>963.0</v>
      </c>
      <c r="F13" s="30">
        <v>615.0</v>
      </c>
      <c r="G13" s="31">
        <v>22149.0</v>
      </c>
      <c r="H13" s="31">
        <v>14145.0</v>
      </c>
      <c r="I13" s="31">
        <v>-8004.0</v>
      </c>
      <c r="J13" s="32">
        <v>-0.3613707165109034</v>
      </c>
      <c r="K13" s="36" t="s">
        <v>114</v>
      </c>
      <c r="M13" s="61" t="s">
        <v>115</v>
      </c>
      <c r="N13" s="9">
        <v>5956122.560147643</v>
      </c>
    </row>
    <row r="14">
      <c r="A14" s="38" t="s">
        <v>58</v>
      </c>
      <c r="B14" s="28" t="s">
        <v>4</v>
      </c>
      <c r="C14" s="44">
        <v>45.0</v>
      </c>
      <c r="D14" s="32">
        <v>0.007530460834621037</v>
      </c>
      <c r="E14" s="30">
        <v>1895.0</v>
      </c>
      <c r="F14" s="30">
        <v>1700.0</v>
      </c>
      <c r="G14" s="31">
        <v>85275.0</v>
      </c>
      <c r="H14" s="31">
        <v>76500.0</v>
      </c>
      <c r="I14" s="31">
        <v>-8775.0</v>
      </c>
      <c r="J14" s="32">
        <v>-0.10290237467018469</v>
      </c>
      <c r="K14" s="36" t="s">
        <v>114</v>
      </c>
      <c r="M14" s="61" t="s">
        <v>116</v>
      </c>
      <c r="N14" s="9">
        <v>23867.0</v>
      </c>
    </row>
    <row r="15">
      <c r="A15" s="35" t="s">
        <v>59</v>
      </c>
      <c r="B15" s="28" t="s">
        <v>4</v>
      </c>
      <c r="C15" s="44">
        <v>1.0</v>
      </c>
      <c r="D15" s="32">
        <v>0.0016857404155932714</v>
      </c>
      <c r="E15" s="30">
        <v>11400.0</v>
      </c>
      <c r="F15" s="31">
        <v>17125.0</v>
      </c>
      <c r="G15" s="31">
        <v>11400.0</v>
      </c>
      <c r="H15" s="31">
        <v>17125.0</v>
      </c>
      <c r="I15" s="31">
        <v>5725.0</v>
      </c>
      <c r="J15" s="32">
        <v>0.5021929824561403</v>
      </c>
      <c r="K15" s="36" t="s">
        <v>114</v>
      </c>
      <c r="M15" s="61" t="s">
        <v>117</v>
      </c>
      <c r="N15" s="9">
        <v>3081840.27657431</v>
      </c>
    </row>
    <row r="16">
      <c r="A16" s="35" t="s">
        <v>60</v>
      </c>
      <c r="B16" s="28" t="s">
        <v>4</v>
      </c>
      <c r="C16" s="44">
        <v>5.0</v>
      </c>
      <c r="D16" s="32">
        <v>0.004336167317190284</v>
      </c>
      <c r="E16" s="30">
        <v>7400.0</v>
      </c>
      <c r="F16" s="30">
        <v>8810.0</v>
      </c>
      <c r="G16" s="31">
        <v>37000.0</v>
      </c>
      <c r="H16" s="31">
        <v>44050.0</v>
      </c>
      <c r="I16" s="31">
        <v>7050.0</v>
      </c>
      <c r="J16" s="32">
        <v>0.19054054054054054</v>
      </c>
      <c r="K16" s="36" t="s">
        <v>114</v>
      </c>
      <c r="M16" s="64" t="s">
        <v>9</v>
      </c>
      <c r="N16" s="63">
        <v>107420.0</v>
      </c>
    </row>
    <row r="17">
      <c r="A17" s="35" t="s">
        <v>61</v>
      </c>
      <c r="B17" s="28" t="s">
        <v>4</v>
      </c>
      <c r="C17" s="44">
        <v>5.0</v>
      </c>
      <c r="D17" s="32">
        <v>0.0023305053628712817</v>
      </c>
      <c r="E17" s="30">
        <v>5970.0</v>
      </c>
      <c r="F17" s="30">
        <v>4735.0</v>
      </c>
      <c r="G17" s="31">
        <v>29850.0</v>
      </c>
      <c r="H17" s="31">
        <v>23675.0</v>
      </c>
      <c r="I17" s="31">
        <v>-6175.0</v>
      </c>
      <c r="J17" s="32">
        <v>-0.2068676716917923</v>
      </c>
      <c r="K17" s="36" t="s">
        <v>114</v>
      </c>
      <c r="M17" s="64" t="s">
        <v>10</v>
      </c>
      <c r="N17" s="65">
        <v>1.0266160836721953E7</v>
      </c>
    </row>
    <row r="18">
      <c r="A18" s="38" t="s">
        <v>62</v>
      </c>
      <c r="B18" s="28" t="s">
        <v>4</v>
      </c>
      <c r="C18" s="44">
        <v>25.0</v>
      </c>
      <c r="D18" s="32">
        <v>0.007813468349647645</v>
      </c>
      <c r="E18" s="30">
        <v>3995.0</v>
      </c>
      <c r="F18" s="31">
        <v>3175.0</v>
      </c>
      <c r="G18" s="31">
        <v>99875.0</v>
      </c>
      <c r="H18" s="31">
        <v>79375.0</v>
      </c>
      <c r="I18" s="31">
        <v>-20500.0</v>
      </c>
      <c r="J18" s="32">
        <v>-0.20525657071339173</v>
      </c>
      <c r="K18" s="36" t="s">
        <v>114</v>
      </c>
    </row>
    <row r="19">
      <c r="A19" s="37" t="s">
        <v>63</v>
      </c>
      <c r="B19" s="28" t="s">
        <v>4</v>
      </c>
      <c r="C19" s="44">
        <v>1.0</v>
      </c>
      <c r="D19" s="32">
        <v>0.0019195292323543822</v>
      </c>
      <c r="E19" s="30">
        <v>17850.0</v>
      </c>
      <c r="F19" s="31">
        <v>19500.0</v>
      </c>
      <c r="G19" s="31">
        <v>17850.0</v>
      </c>
      <c r="H19" s="31">
        <v>19500.0</v>
      </c>
      <c r="I19" s="31">
        <v>1650.0</v>
      </c>
      <c r="J19" s="32">
        <v>0.09243697478991597</v>
      </c>
      <c r="K19" s="36" t="s">
        <v>114</v>
      </c>
      <c r="M19" s="72" t="s">
        <v>120</v>
      </c>
      <c r="N19" s="73"/>
    </row>
    <row r="20">
      <c r="A20" s="39" t="s">
        <v>64</v>
      </c>
      <c r="B20" s="28" t="s">
        <v>4</v>
      </c>
      <c r="C20" s="44">
        <v>1.0</v>
      </c>
      <c r="D20" s="32">
        <v>0.0015799202143224529</v>
      </c>
      <c r="E20" s="30">
        <v>15000.0</v>
      </c>
      <c r="F20" s="31">
        <v>16050.0</v>
      </c>
      <c r="G20" s="31">
        <v>15000.0</v>
      </c>
      <c r="H20" s="31">
        <v>16050.0</v>
      </c>
      <c r="I20" s="31">
        <v>1050.0</v>
      </c>
      <c r="J20" s="32">
        <v>0.07</v>
      </c>
      <c r="K20" s="36" t="s">
        <v>114</v>
      </c>
      <c r="M20" s="56" t="s">
        <v>1</v>
      </c>
      <c r="N20" s="31">
        <v>0.0</v>
      </c>
    </row>
    <row r="21">
      <c r="A21" s="37" t="s">
        <v>65</v>
      </c>
      <c r="B21" s="28" t="s">
        <v>4</v>
      </c>
      <c r="C21" s="44">
        <v>9.0</v>
      </c>
      <c r="D21" s="32">
        <v>0.0032336684760431514</v>
      </c>
      <c r="E21" s="30">
        <v>3655.0</v>
      </c>
      <c r="F21" s="31">
        <v>3650.0</v>
      </c>
      <c r="G21" s="31">
        <v>32895.0</v>
      </c>
      <c r="H21" s="31">
        <v>32850.0</v>
      </c>
      <c r="I21" s="31">
        <v>-45.0</v>
      </c>
      <c r="J21" s="32">
        <v>-0.0013679890560875513</v>
      </c>
      <c r="K21" s="36" t="s">
        <v>114</v>
      </c>
      <c r="M21" s="58" t="s">
        <v>2</v>
      </c>
      <c r="N21" s="31">
        <v>28236.0</v>
      </c>
    </row>
    <row r="22">
      <c r="A22" s="39" t="s">
        <v>66</v>
      </c>
      <c r="B22" s="28" t="s">
        <v>4</v>
      </c>
      <c r="C22" s="44">
        <v>1.0</v>
      </c>
      <c r="D22" s="32">
        <v>0.0017005060250729206</v>
      </c>
      <c r="E22" s="30">
        <v>17775.0</v>
      </c>
      <c r="F22" s="31">
        <v>17275.0</v>
      </c>
      <c r="G22" s="31">
        <v>17775.0</v>
      </c>
      <c r="H22" s="31">
        <v>17275.0</v>
      </c>
      <c r="I22" s="31">
        <v>-500.0</v>
      </c>
      <c r="J22" s="32">
        <v>-0.02812939521800281</v>
      </c>
      <c r="K22" s="36" t="s">
        <v>114</v>
      </c>
      <c r="M22" s="56" t="s">
        <v>3</v>
      </c>
      <c r="N22" s="31">
        <v>-480345.55799999996</v>
      </c>
      <c r="O22" s="16" t="s">
        <v>121</v>
      </c>
    </row>
    <row r="23">
      <c r="A23" s="35" t="s">
        <v>67</v>
      </c>
      <c r="B23" s="28" t="s">
        <v>4</v>
      </c>
      <c r="C23" s="44">
        <v>1.0</v>
      </c>
      <c r="D23" s="32">
        <v>6.575618088270396E-4</v>
      </c>
      <c r="E23" s="30">
        <v>7790.0</v>
      </c>
      <c r="F23" s="31">
        <v>6680.0</v>
      </c>
      <c r="G23" s="31">
        <v>7790.0</v>
      </c>
      <c r="H23" s="31">
        <v>6680.0</v>
      </c>
      <c r="I23" s="31">
        <v>-1110.0</v>
      </c>
      <c r="J23" s="32">
        <v>-0.14249037227214378</v>
      </c>
      <c r="K23" s="36" t="s">
        <v>114</v>
      </c>
      <c r="M23" s="58" t="s">
        <v>4</v>
      </c>
      <c r="N23" s="31">
        <v>18484.0</v>
      </c>
    </row>
    <row r="24">
      <c r="A24" s="38" t="s">
        <v>68</v>
      </c>
      <c r="B24" s="28" t="s">
        <v>4</v>
      </c>
      <c r="C24" s="44">
        <v>2.0</v>
      </c>
      <c r="D24" s="32">
        <v>0.006639602396015542</v>
      </c>
      <c r="E24" s="30">
        <v>35825.0</v>
      </c>
      <c r="F24" s="31">
        <v>33725.0</v>
      </c>
      <c r="G24" s="31">
        <v>71650.0</v>
      </c>
      <c r="H24" s="31">
        <v>67450.0</v>
      </c>
      <c r="I24" s="31">
        <v>-4200.0</v>
      </c>
      <c r="J24" s="32">
        <v>-0.05861828332170272</v>
      </c>
      <c r="K24" s="36" t="s">
        <v>114</v>
      </c>
      <c r="M24" s="56" t="s">
        <v>5</v>
      </c>
      <c r="N24" s="31">
        <v>293738.0</v>
      </c>
    </row>
    <row r="25">
      <c r="A25" s="35" t="s">
        <v>70</v>
      </c>
      <c r="B25" s="28" t="s">
        <v>4</v>
      </c>
      <c r="C25" s="44">
        <v>3.0</v>
      </c>
      <c r="D25" s="32">
        <v>0.005721673673364023</v>
      </c>
      <c r="E25" s="30">
        <v>21041.666666666668</v>
      </c>
      <c r="F25" s="31">
        <v>19375.0</v>
      </c>
      <c r="G25" s="31">
        <v>63125.0</v>
      </c>
      <c r="H25" s="31">
        <v>58125.0</v>
      </c>
      <c r="I25" s="31">
        <v>-5000.0</v>
      </c>
      <c r="J25" s="32">
        <v>-0.07920792079207921</v>
      </c>
      <c r="K25" s="36" t="s">
        <v>114</v>
      </c>
      <c r="M25" s="56" t="s">
        <v>6</v>
      </c>
      <c r="N25" s="31">
        <v>212765.54987424146</v>
      </c>
    </row>
    <row r="26">
      <c r="A26" s="36" t="s">
        <v>55</v>
      </c>
      <c r="B26" s="28" t="s">
        <v>3</v>
      </c>
      <c r="C26" s="44">
        <v>60.0</v>
      </c>
      <c r="D26" s="32">
        <v>0.004831307421741184</v>
      </c>
      <c r="E26" s="30">
        <v>740.0</v>
      </c>
      <c r="F26" s="30">
        <v>818.0</v>
      </c>
      <c r="G26" s="31">
        <v>44400.0</v>
      </c>
      <c r="H26" s="31">
        <v>49080.0</v>
      </c>
      <c r="I26" s="31">
        <v>4680.0</v>
      </c>
      <c r="J26" s="32">
        <v>0.10540540540540541</v>
      </c>
      <c r="K26" s="36" t="s">
        <v>114</v>
      </c>
      <c r="M26" s="61" t="s">
        <v>7</v>
      </c>
      <c r="N26" s="31">
        <v>1050521.456</v>
      </c>
    </row>
    <row r="27">
      <c r="A27" s="74" t="s">
        <v>57</v>
      </c>
      <c r="B27" s="28" t="s">
        <v>3</v>
      </c>
      <c r="C27" s="44">
        <v>163.0</v>
      </c>
      <c r="D27" s="32">
        <v>0.01187351876956849</v>
      </c>
      <c r="E27" s="30">
        <v>770.0</v>
      </c>
      <c r="F27" s="30">
        <v>740.0</v>
      </c>
      <c r="G27" s="31">
        <v>125510.0</v>
      </c>
      <c r="H27" s="31">
        <v>120620.0</v>
      </c>
      <c r="I27" s="31">
        <v>-4890.0</v>
      </c>
      <c r="J27" s="32">
        <v>-0.03896103896103896</v>
      </c>
      <c r="K27" s="36" t="s">
        <v>114</v>
      </c>
      <c r="M27" s="56" t="s">
        <v>8</v>
      </c>
      <c r="N27" s="31">
        <v>2459.0</v>
      </c>
    </row>
    <row r="28">
      <c r="A28" s="36" t="s">
        <v>80</v>
      </c>
      <c r="B28" s="28" t="s">
        <v>5</v>
      </c>
      <c r="C28" s="44">
        <v>12.0</v>
      </c>
      <c r="D28" s="32">
        <v>8.268741308603492E-4</v>
      </c>
      <c r="E28" s="30">
        <v>1169.0</v>
      </c>
      <c r="F28" s="30">
        <v>700.0</v>
      </c>
      <c r="G28" s="31">
        <v>14028.0</v>
      </c>
      <c r="H28" s="31">
        <v>8400.0</v>
      </c>
      <c r="I28" s="31">
        <v>-5628.0</v>
      </c>
      <c r="J28" s="32">
        <v>-0.40119760479041916</v>
      </c>
      <c r="K28" s="36" t="s">
        <v>114</v>
      </c>
    </row>
    <row r="29">
      <c r="A29" s="36" t="s">
        <v>71</v>
      </c>
      <c r="B29" s="28" t="s">
        <v>5</v>
      </c>
      <c r="C29" s="44">
        <v>19.0</v>
      </c>
      <c r="D29" s="32">
        <v>0.0020910071771113735</v>
      </c>
      <c r="E29" s="30">
        <v>1670.7894736842106</v>
      </c>
      <c r="F29" s="30">
        <v>1118.0</v>
      </c>
      <c r="G29" s="31">
        <v>31745.000000000004</v>
      </c>
      <c r="H29" s="31">
        <v>21242.0</v>
      </c>
      <c r="I29" s="31">
        <v>-10503.000000000004</v>
      </c>
      <c r="J29" s="32">
        <v>-0.3308552527957159</v>
      </c>
      <c r="K29" s="36" t="s">
        <v>114</v>
      </c>
    </row>
    <row r="30">
      <c r="A30" s="41" t="s">
        <v>94</v>
      </c>
      <c r="B30" s="28" t="s">
        <v>5</v>
      </c>
      <c r="C30" s="44">
        <v>98.0</v>
      </c>
      <c r="D30" s="32">
        <v>0.008219128860751872</v>
      </c>
      <c r="E30" s="30">
        <v>1135.0</v>
      </c>
      <c r="F30" s="30">
        <v>852.0</v>
      </c>
      <c r="G30" s="31">
        <v>111230.0</v>
      </c>
      <c r="H30" s="31">
        <v>83496.0</v>
      </c>
      <c r="I30" s="31">
        <v>-27734.0</v>
      </c>
      <c r="J30" s="32">
        <v>-0.24933920704845816</v>
      </c>
      <c r="K30" s="36" t="s">
        <v>115</v>
      </c>
    </row>
    <row r="31">
      <c r="A31" s="41" t="s">
        <v>92</v>
      </c>
      <c r="B31" s="28" t="s">
        <v>5</v>
      </c>
      <c r="C31" s="44">
        <v>99.0</v>
      </c>
      <c r="D31" s="32">
        <v>0.010758813691251515</v>
      </c>
      <c r="E31" s="30">
        <v>1315.0625</v>
      </c>
      <c r="F31" s="30">
        <v>1104.0</v>
      </c>
      <c r="G31" s="31">
        <v>130191.1875</v>
      </c>
      <c r="H31" s="31">
        <v>109296.0</v>
      </c>
      <c r="I31" s="31">
        <v>-20895.1875</v>
      </c>
      <c r="J31" s="32">
        <v>-0.16049617413621026</v>
      </c>
      <c r="K31" s="36" t="s">
        <v>115</v>
      </c>
    </row>
    <row r="32">
      <c r="A32" s="41" t="s">
        <v>93</v>
      </c>
      <c r="B32" s="28" t="s">
        <v>5</v>
      </c>
      <c r="C32" s="44">
        <v>98.0</v>
      </c>
      <c r="D32" s="32">
        <v>0.010872016697262158</v>
      </c>
      <c r="E32" s="30">
        <v>1197.8</v>
      </c>
      <c r="F32" s="30">
        <v>1127.0</v>
      </c>
      <c r="G32" s="31">
        <v>117384.4</v>
      </c>
      <c r="H32" s="31">
        <v>110446.0</v>
      </c>
      <c r="I32" s="31">
        <v>-6938.399999999994</v>
      </c>
      <c r="J32" s="32">
        <v>-0.059108365336450114</v>
      </c>
      <c r="K32" s="36" t="s">
        <v>115</v>
      </c>
    </row>
    <row r="33">
      <c r="A33" s="36" t="s">
        <v>90</v>
      </c>
      <c r="B33" s="28" t="s">
        <v>6</v>
      </c>
      <c r="C33" s="44">
        <v>38715.0435</v>
      </c>
      <c r="D33" s="32">
        <v>0.050984428412569824</v>
      </c>
      <c r="E33" s="30">
        <v>12.9</v>
      </c>
      <c r="F33" s="30">
        <v>13.3782</v>
      </c>
      <c r="G33" s="31">
        <v>499424.06115</v>
      </c>
      <c r="H33" s="31">
        <v>517937.5949517</v>
      </c>
      <c r="I33" s="31">
        <v>18513.53380169999</v>
      </c>
      <c r="J33" s="32">
        <v>0.03706976744186044</v>
      </c>
      <c r="K33" s="36" t="s">
        <v>115</v>
      </c>
    </row>
    <row r="34">
      <c r="A34" s="41" t="s">
        <v>72</v>
      </c>
      <c r="B34" s="28" t="s">
        <v>6</v>
      </c>
      <c r="C34" s="44">
        <v>10501.993</v>
      </c>
      <c r="D34" s="32">
        <v>0.11994338704199882</v>
      </c>
      <c r="E34" s="30">
        <v>104.14000000000001</v>
      </c>
      <c r="F34" s="30">
        <v>116.0231</v>
      </c>
      <c r="G34" s="31">
        <v>1093677.5510200001</v>
      </c>
      <c r="H34" s="31">
        <v>1218473.7840383</v>
      </c>
      <c r="I34" s="31">
        <v>124796.2330182998</v>
      </c>
      <c r="J34" s="32">
        <v>0.11410697138467428</v>
      </c>
      <c r="K34" s="36" t="s">
        <v>115</v>
      </c>
    </row>
    <row r="35">
      <c r="A35" s="66" t="s">
        <v>73</v>
      </c>
      <c r="B35" s="28" t="s">
        <v>6</v>
      </c>
      <c r="C35" s="44">
        <v>120.775</v>
      </c>
      <c r="D35" s="32">
        <v>0.011776672536279065</v>
      </c>
      <c r="E35" s="30">
        <v>1067.0</v>
      </c>
      <c r="F35" s="30">
        <v>990.5706</v>
      </c>
      <c r="G35" s="31">
        <v>128866.925</v>
      </c>
      <c r="H35" s="31">
        <v>119636.16421500001</v>
      </c>
      <c r="I35" s="31">
        <v>-9230.760784999991</v>
      </c>
      <c r="J35" s="32">
        <v>-0.07163017806935326</v>
      </c>
      <c r="K35" s="36" t="s">
        <v>115</v>
      </c>
    </row>
    <row r="36">
      <c r="A36" s="66" t="s">
        <v>83</v>
      </c>
      <c r="B36" s="28" t="s">
        <v>6</v>
      </c>
      <c r="C36" s="44">
        <v>93074.373</v>
      </c>
      <c r="D36" s="32">
        <v>0.050871083035912736</v>
      </c>
      <c r="E36" s="30">
        <v>5.34195</v>
      </c>
      <c r="F36" s="30">
        <v>5.5524</v>
      </c>
      <c r="G36" s="31">
        <v>497198.64684735</v>
      </c>
      <c r="H36" s="31">
        <v>516786.1486452</v>
      </c>
      <c r="I36" s="31">
        <v>19587.50179785001</v>
      </c>
      <c r="J36" s="32">
        <v>0.039395726279729336</v>
      </c>
      <c r="K36" s="36" t="s">
        <v>115</v>
      </c>
    </row>
    <row r="37">
      <c r="A37" s="36" t="s">
        <v>84</v>
      </c>
      <c r="B37" s="28" t="s">
        <v>6</v>
      </c>
      <c r="C37" s="44">
        <v>13039.771086</v>
      </c>
      <c r="D37" s="32">
        <v>0.1077828305590243</v>
      </c>
      <c r="E37" s="30">
        <v>80.36389159475553</v>
      </c>
      <c r="F37" s="30">
        <v>83.9691</v>
      </c>
      <c r="G37" s="31">
        <v>1047926.7499757316</v>
      </c>
      <c r="H37" s="31">
        <v>1094937.8422974427</v>
      </c>
      <c r="I37" s="31">
        <v>47011.09232171113</v>
      </c>
      <c r="J37" s="32">
        <v>0.04486104808642382</v>
      </c>
      <c r="K37" s="36" t="s">
        <v>115</v>
      </c>
    </row>
    <row r="38">
      <c r="A38" s="36" t="s">
        <v>87</v>
      </c>
      <c r="B38" s="28" t="s">
        <v>6</v>
      </c>
      <c r="C38" s="44">
        <v>2374.82</v>
      </c>
      <c r="D38" s="32">
        <v>0.10335138789218398</v>
      </c>
      <c r="E38" s="30">
        <v>421.085741</v>
      </c>
      <c r="F38" s="30">
        <v>442.105071</v>
      </c>
      <c r="G38" s="31">
        <v>1000002.83944162</v>
      </c>
      <c r="H38" s="31">
        <v>1049919.96471222</v>
      </c>
      <c r="I38" s="31">
        <v>49917.125270599965</v>
      </c>
      <c r="J38" s="32">
        <v>0.04991698353423937</v>
      </c>
      <c r="K38" s="36" t="s">
        <v>117</v>
      </c>
    </row>
    <row r="39">
      <c r="A39" s="36" t="s">
        <v>86</v>
      </c>
      <c r="B39" s="28" t="s">
        <v>6</v>
      </c>
      <c r="C39" s="44">
        <v>9615.98</v>
      </c>
      <c r="D39" s="32">
        <v>0.10321031590729195</v>
      </c>
      <c r="E39" s="30">
        <v>103.993638</v>
      </c>
      <c r="F39" s="30">
        <v>109.035881</v>
      </c>
      <c r="G39" s="31">
        <v>1000000.74313524</v>
      </c>
      <c r="H39" s="31">
        <v>1048486.85097838</v>
      </c>
      <c r="I39" s="31">
        <v>48486.10784313991</v>
      </c>
      <c r="J39" s="32">
        <v>0.048486071811431296</v>
      </c>
      <c r="K39" s="36" t="s">
        <v>117</v>
      </c>
    </row>
    <row r="40">
      <c r="A40" s="36" t="s">
        <v>85</v>
      </c>
      <c r="B40" s="28" t="s">
        <v>6</v>
      </c>
      <c r="C40" s="44">
        <v>15844.09</v>
      </c>
      <c r="D40" s="32">
        <v>0.0968066295508575</v>
      </c>
      <c r="E40" s="30">
        <v>60.20324452696116</v>
      </c>
      <c r="F40" s="30">
        <v>62.069419</v>
      </c>
      <c r="G40" s="31">
        <v>953865.62457718</v>
      </c>
      <c r="H40" s="31">
        <v>983433.4608837101</v>
      </c>
      <c r="I40" s="31">
        <v>29567.83630653005</v>
      </c>
      <c r="J40" s="32">
        <v>0.03099790530729796</v>
      </c>
      <c r="K40" s="36" t="s">
        <v>117</v>
      </c>
    </row>
    <row r="41">
      <c r="A41" s="36" t="s">
        <v>89</v>
      </c>
      <c r="B41" s="28" t="s">
        <v>7</v>
      </c>
      <c r="C41" s="44">
        <v>857590.0</v>
      </c>
      <c r="D41" s="32">
        <v>0.11540067306001765</v>
      </c>
      <c r="E41" s="30">
        <v>-0.004083566272927683</v>
      </c>
      <c r="F41" s="30">
        <v>1.367</v>
      </c>
      <c r="G41" s="31">
        <v>-3502.025600000052</v>
      </c>
      <c r="H41" s="31">
        <v>1172325.53</v>
      </c>
      <c r="I41" s="31">
        <v>1175827.5556</v>
      </c>
      <c r="J41" s="32">
        <v>-335.75641354534434</v>
      </c>
      <c r="K41" s="36" t="s">
        <v>115</v>
      </c>
    </row>
    <row r="42">
      <c r="A42" s="36" t="s">
        <v>95</v>
      </c>
      <c r="B42" s="28" t="s">
        <v>7</v>
      </c>
      <c r="C42" s="44">
        <v>732312.0</v>
      </c>
      <c r="D42" s="32">
        <v>0.09969616434538446</v>
      </c>
      <c r="E42" s="30">
        <v>2.726</v>
      </c>
      <c r="F42" s="30">
        <v>1.383</v>
      </c>
      <c r="G42" s="31">
        <v>1996282.5119999999</v>
      </c>
      <c r="H42" s="31">
        <v>1012787.496</v>
      </c>
      <c r="I42" s="31">
        <v>-983495.0159999998</v>
      </c>
      <c r="J42" s="32">
        <v>-0.49266324284666174</v>
      </c>
      <c r="K42" s="36" t="s">
        <v>115</v>
      </c>
    </row>
    <row r="43">
      <c r="A43" s="36" t="s">
        <v>77</v>
      </c>
      <c r="B43" s="28" t="s">
        <v>8</v>
      </c>
      <c r="C43" s="67">
        <v>1.0</v>
      </c>
      <c r="D43" s="32">
        <v>0.002349405343005233</v>
      </c>
      <c r="E43" s="30">
        <v>20647.0</v>
      </c>
      <c r="F43" s="30">
        <v>23867.0</v>
      </c>
      <c r="G43" s="31">
        <v>20647.0</v>
      </c>
      <c r="H43" s="31">
        <v>23867.0</v>
      </c>
      <c r="I43" s="31">
        <v>3220.0</v>
      </c>
      <c r="J43" s="32">
        <v>0.15595486027025718</v>
      </c>
      <c r="K43" s="36" t="s">
        <v>116</v>
      </c>
    </row>
    <row r="44">
      <c r="A44" s="16"/>
      <c r="B44" s="68"/>
      <c r="C44" s="69"/>
      <c r="D44" s="70"/>
      <c r="E44" s="70"/>
      <c r="F44" s="71"/>
      <c r="G44" s="71"/>
      <c r="H44" s="71"/>
      <c r="I44" s="69"/>
      <c r="J44" s="16"/>
    </row>
    <row r="45">
      <c r="A45" s="16"/>
      <c r="B45" s="68"/>
      <c r="C45" s="69"/>
      <c r="D45" s="70"/>
      <c r="E45" s="70"/>
      <c r="F45" s="71"/>
      <c r="G45" s="71"/>
      <c r="H45" s="71"/>
      <c r="I45" s="69"/>
      <c r="J45" s="16"/>
    </row>
  </sheetData>
  <mergeCells count="1">
    <mergeCell ref="M19:N19"/>
  </mergeCells>
  <conditionalFormatting sqref="C2:D2 I5:J1000 N20:N27 H44:H45">
    <cfRule type="cellIs" dxfId="0" priority="1" operator="greaterThan">
      <formula>0</formula>
    </cfRule>
  </conditionalFormatting>
  <conditionalFormatting sqref="C2:D2 I5:J1000 N20:N27 H44:H45">
    <cfRule type="cellIs" dxfId="1" priority="2" operator="lessThan">
      <formula>0</formula>
    </cfRule>
  </conditionalFormatting>
  <conditionalFormatting sqref="C2:D2 I5:J1000 N20:N27 H44:H45">
    <cfRule type="cellIs" dxfId="3" priority="3" operator="equal">
      <formula>0</formula>
    </cfRule>
  </conditionalFormatting>
  <conditionalFormatting sqref="C2:C43 B44:B45 C46:C1000">
    <cfRule type="cellIs" dxfId="2" priority="4" operator="equal">
      <formula>0</formula>
    </cfRule>
  </conditionalFormatting>
  <dataValidations>
    <dataValidation type="list" allowBlank="1" sqref="B5:B25">
      <formula1>"Acciones,Cedear,Opciones,Opc Negociables,Bonos,FCI,FCI/Jardin,FCI/Cobertura,Letras"</formula1>
    </dataValidation>
    <dataValidation type="list" allowBlank="1" showErrorMessage="1" sqref="K5:K43 J44:J45">
      <formula1>"Eco,Ppi,Binance,Galicia"</formula1>
    </dataValidation>
    <dataValidation type="list" allowBlank="1" sqref="B26:B43">
      <formula1>"Acciones,Cedear,Opc/Futuros,ON,Bonos,FCI,Letras,Cripto"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6.25"/>
    <col customWidth="1" min="4" max="4" width="13.75"/>
    <col customWidth="1" min="5" max="5" width="20.0"/>
    <col customWidth="1" min="6" max="6" width="20.63"/>
    <col customWidth="1" min="7" max="7" width="18.25"/>
    <col customWidth="1" min="8" max="8" width="14.75"/>
    <col customWidth="1" min="9" max="9" width="15.25"/>
    <col customWidth="1" min="10" max="10" width="16.25"/>
    <col customWidth="1" min="11" max="11" width="13.88"/>
    <col customWidth="1" min="13" max="13" width="14.5"/>
  </cols>
  <sheetData>
    <row r="1">
      <c r="A1" s="54" t="s">
        <v>101</v>
      </c>
      <c r="C1" s="55" t="s">
        <v>40</v>
      </c>
      <c r="D1" s="55" t="s">
        <v>41</v>
      </c>
      <c r="E1" s="55" t="s">
        <v>102</v>
      </c>
      <c r="F1" s="55" t="s">
        <v>103</v>
      </c>
      <c r="G1" s="26" t="s">
        <v>9</v>
      </c>
      <c r="H1" s="55" t="s">
        <v>104</v>
      </c>
      <c r="I1" s="55" t="s">
        <v>105</v>
      </c>
      <c r="M1" s="56" t="s">
        <v>1</v>
      </c>
      <c r="N1" s="9">
        <v>0.0</v>
      </c>
    </row>
    <row r="2">
      <c r="C2" s="31">
        <v>1038747.7338005891</v>
      </c>
      <c r="D2" s="32">
        <v>0.12993873366203212</v>
      </c>
      <c r="E2" s="31">
        <v>7994134.655047121</v>
      </c>
      <c r="F2" s="57">
        <v>9032882.38884771</v>
      </c>
      <c r="G2" s="52">
        <v>161000.0</v>
      </c>
      <c r="H2" s="57">
        <v>8155134.655047121</v>
      </c>
      <c r="I2" s="57">
        <v>9193882.38884771</v>
      </c>
      <c r="M2" s="58" t="s">
        <v>2</v>
      </c>
      <c r="N2" s="9">
        <v>410678.0</v>
      </c>
    </row>
    <row r="3">
      <c r="J3" s="59"/>
      <c r="M3" s="56" t="s">
        <v>3</v>
      </c>
      <c r="N3" s="9">
        <v>650045.558</v>
      </c>
    </row>
    <row r="4">
      <c r="A4" s="26" t="s">
        <v>32</v>
      </c>
      <c r="B4" s="26" t="s">
        <v>34</v>
      </c>
      <c r="C4" s="26" t="s">
        <v>106</v>
      </c>
      <c r="D4" s="26" t="s">
        <v>107</v>
      </c>
      <c r="E4" s="26" t="s">
        <v>108</v>
      </c>
      <c r="F4" s="26" t="s">
        <v>109</v>
      </c>
      <c r="G4" s="26" t="s">
        <v>110</v>
      </c>
      <c r="H4" s="26" t="s">
        <v>111</v>
      </c>
      <c r="I4" s="26" t="s">
        <v>40</v>
      </c>
      <c r="J4" s="26" t="s">
        <v>41</v>
      </c>
      <c r="K4" s="26" t="s">
        <v>112</v>
      </c>
      <c r="L4" s="27"/>
      <c r="M4" s="58" t="s">
        <v>4</v>
      </c>
      <c r="N4" s="9">
        <v>440171.0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9" t="s">
        <v>44</v>
      </c>
      <c r="B5" s="28" t="s">
        <v>2</v>
      </c>
      <c r="C5" s="44">
        <v>15.0</v>
      </c>
      <c r="D5" s="32">
        <v>0.0013085524078773963</v>
      </c>
      <c r="E5" s="30">
        <v>984.0</v>
      </c>
      <c r="F5" s="31">
        <v>788.0</v>
      </c>
      <c r="G5" s="31">
        <v>14760.0</v>
      </c>
      <c r="H5" s="31">
        <v>11820.0</v>
      </c>
      <c r="I5" s="31">
        <v>-2940.0</v>
      </c>
      <c r="J5" s="32">
        <v>-0.1991869918699187</v>
      </c>
      <c r="K5" s="36" t="s">
        <v>114</v>
      </c>
      <c r="M5" s="56" t="s">
        <v>5</v>
      </c>
      <c r="N5" s="9">
        <v>39142.0</v>
      </c>
    </row>
    <row r="6">
      <c r="A6" s="33" t="s">
        <v>46</v>
      </c>
      <c r="B6" s="28" t="s">
        <v>2</v>
      </c>
      <c r="C6" s="44">
        <v>30.0</v>
      </c>
      <c r="D6" s="32">
        <v>0.0014281155720489351</v>
      </c>
      <c r="E6" s="30">
        <v>371.26666666666665</v>
      </c>
      <c r="F6" s="30">
        <v>430.0</v>
      </c>
      <c r="G6" s="31">
        <v>11138.0</v>
      </c>
      <c r="H6" s="31">
        <v>12900.0</v>
      </c>
      <c r="I6" s="31">
        <v>1762.0</v>
      </c>
      <c r="J6" s="32">
        <v>0.1581971628658646</v>
      </c>
      <c r="K6" s="36" t="s">
        <v>114</v>
      </c>
      <c r="M6" s="56" t="s">
        <v>6</v>
      </c>
      <c r="N6" s="9">
        <v>6336846.260847711</v>
      </c>
    </row>
    <row r="7">
      <c r="A7" s="33" t="s">
        <v>47</v>
      </c>
      <c r="B7" s="28" t="s">
        <v>2</v>
      </c>
      <c r="C7" s="44">
        <v>20.0</v>
      </c>
      <c r="D7" s="32">
        <v>0.0029226551241931698</v>
      </c>
      <c r="E7" s="30">
        <v>1740.0</v>
      </c>
      <c r="F7" s="31">
        <v>1320.0</v>
      </c>
      <c r="G7" s="31">
        <v>34800.0</v>
      </c>
      <c r="H7" s="31">
        <v>26400.0</v>
      </c>
      <c r="I7" s="31">
        <v>-8400.0</v>
      </c>
      <c r="J7" s="32">
        <v>-0.2413793103448276</v>
      </c>
      <c r="K7" s="36" t="s">
        <v>114</v>
      </c>
      <c r="M7" s="61" t="s">
        <v>7</v>
      </c>
      <c r="N7" s="9">
        <v>1134591.57</v>
      </c>
    </row>
    <row r="8">
      <c r="A8" s="33" t="s">
        <v>48</v>
      </c>
      <c r="B8" s="28" t="s">
        <v>2</v>
      </c>
      <c r="C8" s="44">
        <v>46.0</v>
      </c>
      <c r="D8" s="32">
        <v>7.51144508244343E-4</v>
      </c>
      <c r="E8" s="30">
        <v>232.2336956521739</v>
      </c>
      <c r="F8" s="31">
        <v>147.5</v>
      </c>
      <c r="G8" s="31">
        <v>10682.75</v>
      </c>
      <c r="H8" s="31">
        <v>6785.0</v>
      </c>
      <c r="I8" s="31">
        <v>-3897.75</v>
      </c>
      <c r="J8" s="32">
        <v>-0.36486391612646557</v>
      </c>
      <c r="K8" s="36" t="s">
        <v>114</v>
      </c>
      <c r="M8" s="61" t="s">
        <v>8</v>
      </c>
      <c r="N8" s="9">
        <v>21408.0</v>
      </c>
    </row>
    <row r="9">
      <c r="A9" s="33" t="s">
        <v>49</v>
      </c>
      <c r="B9" s="28" t="s">
        <v>2</v>
      </c>
      <c r="C9" s="44">
        <v>25.0</v>
      </c>
      <c r="D9" s="32">
        <v>0.004705031923417035</v>
      </c>
      <c r="E9" s="30">
        <v>1270.6</v>
      </c>
      <c r="F9" s="30">
        <v>1700.0</v>
      </c>
      <c r="G9" s="31">
        <v>31764.999999999996</v>
      </c>
      <c r="H9" s="31">
        <v>42500.0</v>
      </c>
      <c r="I9" s="31">
        <v>10735.000000000004</v>
      </c>
      <c r="J9" s="32">
        <v>0.33795057453171745</v>
      </c>
      <c r="K9" s="36" t="s">
        <v>114</v>
      </c>
      <c r="M9" s="62" t="s">
        <v>9</v>
      </c>
      <c r="N9" s="63">
        <v>107420.0</v>
      </c>
    </row>
    <row r="10">
      <c r="A10" s="33" t="s">
        <v>50</v>
      </c>
      <c r="B10" s="28" t="s">
        <v>2</v>
      </c>
      <c r="C10" s="44">
        <v>100.0</v>
      </c>
      <c r="D10" s="32">
        <v>0.0026569592038119725</v>
      </c>
      <c r="E10" s="30">
        <v>394.0</v>
      </c>
      <c r="F10" s="31">
        <v>240.0</v>
      </c>
      <c r="G10" s="31">
        <v>39400.0</v>
      </c>
      <c r="H10" s="31">
        <v>24000.0</v>
      </c>
      <c r="I10" s="31">
        <v>-15400.0</v>
      </c>
      <c r="J10" s="32">
        <v>-0.39086294416243655</v>
      </c>
      <c r="K10" s="36" t="s">
        <v>114</v>
      </c>
      <c r="M10" s="64" t="s">
        <v>10</v>
      </c>
      <c r="N10" s="65">
        <v>9140302.38884771</v>
      </c>
    </row>
    <row r="11">
      <c r="A11" s="33" t="s">
        <v>51</v>
      </c>
      <c r="B11" s="28" t="s">
        <v>2</v>
      </c>
      <c r="C11" s="44">
        <v>20.0</v>
      </c>
      <c r="D11" s="32">
        <v>0.007981948274785133</v>
      </c>
      <c r="E11" s="30">
        <v>4200.0</v>
      </c>
      <c r="F11" s="31">
        <v>3605.0</v>
      </c>
      <c r="G11" s="31">
        <v>84000.0</v>
      </c>
      <c r="H11" s="31">
        <v>72100.0</v>
      </c>
      <c r="I11" s="31">
        <v>-11900.0</v>
      </c>
      <c r="J11" s="32">
        <v>-0.14166666666666666</v>
      </c>
      <c r="K11" s="36" t="s">
        <v>114</v>
      </c>
    </row>
    <row r="12">
      <c r="A12" s="33" t="s">
        <v>52</v>
      </c>
      <c r="B12" s="28" t="s">
        <v>2</v>
      </c>
      <c r="C12" s="44">
        <v>7660.0</v>
      </c>
      <c r="D12" s="32">
        <v>0.021836329923162187</v>
      </c>
      <c r="E12" s="30">
        <v>40.0</v>
      </c>
      <c r="F12" s="31">
        <v>25.75</v>
      </c>
      <c r="G12" s="31">
        <v>306400.0</v>
      </c>
      <c r="H12" s="31">
        <v>197245.0</v>
      </c>
      <c r="I12" s="31">
        <v>-109155.0</v>
      </c>
      <c r="J12" s="32">
        <v>-0.35625</v>
      </c>
      <c r="K12" s="36" t="s">
        <v>114</v>
      </c>
      <c r="M12" s="61" t="s">
        <v>114</v>
      </c>
      <c r="N12" s="9">
        <v>1074421.0</v>
      </c>
    </row>
    <row r="13">
      <c r="A13" s="38" t="s">
        <v>54</v>
      </c>
      <c r="B13" s="28" t="s">
        <v>2</v>
      </c>
      <c r="C13" s="44">
        <v>23.0</v>
      </c>
      <c r="D13" s="32">
        <v>0.0018740418917553778</v>
      </c>
      <c r="E13" s="30">
        <v>963.0</v>
      </c>
      <c r="F13" s="31">
        <v>736.0</v>
      </c>
      <c r="G13" s="31">
        <v>22149.0</v>
      </c>
      <c r="H13" s="31">
        <v>16928.0</v>
      </c>
      <c r="I13" s="31">
        <v>-5221.0</v>
      </c>
      <c r="J13" s="32">
        <v>-0.23572170301142265</v>
      </c>
      <c r="K13" s="36" t="s">
        <v>114</v>
      </c>
      <c r="M13" s="61" t="s">
        <v>115</v>
      </c>
      <c r="N13" s="9">
        <v>4954014.645292421</v>
      </c>
    </row>
    <row r="14">
      <c r="A14" s="38" t="s">
        <v>58</v>
      </c>
      <c r="B14" s="28" t="s">
        <v>4</v>
      </c>
      <c r="C14" s="44">
        <v>45.0</v>
      </c>
      <c r="D14" s="32">
        <v>0.00821996753679329</v>
      </c>
      <c r="E14" s="30">
        <v>1895.0</v>
      </c>
      <c r="F14" s="31">
        <v>1650.0</v>
      </c>
      <c r="G14" s="31">
        <v>85275.0</v>
      </c>
      <c r="H14" s="31">
        <v>74250.0</v>
      </c>
      <c r="I14" s="31">
        <v>-11025.0</v>
      </c>
      <c r="J14" s="32">
        <v>-0.12928759894459102</v>
      </c>
      <c r="K14" s="36" t="s">
        <v>114</v>
      </c>
      <c r="M14" s="61" t="s">
        <v>116</v>
      </c>
      <c r="N14" s="9">
        <v>21408.0</v>
      </c>
    </row>
    <row r="15">
      <c r="A15" s="35" t="s">
        <v>59</v>
      </c>
      <c r="B15" s="28" t="s">
        <v>4</v>
      </c>
      <c r="C15" s="44">
        <v>1.0</v>
      </c>
      <c r="D15" s="32">
        <v>0.0017851444650611688</v>
      </c>
      <c r="E15" s="30">
        <v>11400.0</v>
      </c>
      <c r="F15" s="31">
        <v>16125.0</v>
      </c>
      <c r="G15" s="31">
        <v>11400.0</v>
      </c>
      <c r="H15" s="31">
        <v>16125.0</v>
      </c>
      <c r="I15" s="31">
        <v>4725.0</v>
      </c>
      <c r="J15" s="32">
        <v>0.4144736842105263</v>
      </c>
      <c r="K15" s="36" t="s">
        <v>114</v>
      </c>
      <c r="M15" s="61" t="s">
        <v>117</v>
      </c>
      <c r="N15" s="9">
        <v>2983038.74355529</v>
      </c>
    </row>
    <row r="16">
      <c r="A16" s="35" t="s">
        <v>60</v>
      </c>
      <c r="B16" s="28" t="s">
        <v>4</v>
      </c>
      <c r="C16" s="44">
        <v>5.0</v>
      </c>
      <c r="D16" s="32">
        <v>0.00381937885547971</v>
      </c>
      <c r="E16" s="30">
        <v>7400.0</v>
      </c>
      <c r="F16" s="30">
        <v>6900.0</v>
      </c>
      <c r="G16" s="31">
        <v>37000.0</v>
      </c>
      <c r="H16" s="31">
        <v>34500.0</v>
      </c>
      <c r="I16" s="31">
        <v>-2500.0</v>
      </c>
      <c r="J16" s="32">
        <v>-0.06756756756756757</v>
      </c>
      <c r="K16" s="36" t="s">
        <v>114</v>
      </c>
      <c r="M16" s="64" t="s">
        <v>9</v>
      </c>
      <c r="N16" s="63">
        <v>107420.0</v>
      </c>
    </row>
    <row r="17">
      <c r="A17" s="35" t="s">
        <v>61</v>
      </c>
      <c r="B17" s="28" t="s">
        <v>4</v>
      </c>
      <c r="C17" s="44">
        <v>5.0</v>
      </c>
      <c r="D17" s="32">
        <v>0.0017685384700373442</v>
      </c>
      <c r="E17" s="30">
        <v>5970.0</v>
      </c>
      <c r="F17" s="30">
        <v>3195.0</v>
      </c>
      <c r="G17" s="31">
        <v>29850.0</v>
      </c>
      <c r="H17" s="31">
        <v>15975.0</v>
      </c>
      <c r="I17" s="31">
        <v>-13875.0</v>
      </c>
      <c r="J17" s="32">
        <v>-0.4648241206030151</v>
      </c>
      <c r="K17" s="36" t="s">
        <v>114</v>
      </c>
      <c r="M17" s="64" t="s">
        <v>10</v>
      </c>
      <c r="N17" s="65">
        <v>9140302.38884771</v>
      </c>
    </row>
    <row r="18">
      <c r="A18" s="38" t="s">
        <v>62</v>
      </c>
      <c r="B18" s="28" t="s">
        <v>4</v>
      </c>
      <c r="C18" s="44">
        <v>25.0</v>
      </c>
      <c r="D18" s="32">
        <v>0.009520770480326235</v>
      </c>
      <c r="E18" s="30">
        <v>3995.0</v>
      </c>
      <c r="F18" s="31">
        <v>3440.0</v>
      </c>
      <c r="G18" s="31">
        <v>99875.0</v>
      </c>
      <c r="H18" s="31">
        <v>86000.0</v>
      </c>
      <c r="I18" s="31">
        <v>-13875.0</v>
      </c>
      <c r="J18" s="32">
        <v>-0.13892365456821026</v>
      </c>
      <c r="K18" s="36" t="s">
        <v>114</v>
      </c>
    </row>
    <row r="19">
      <c r="A19" s="37" t="s">
        <v>63</v>
      </c>
      <c r="B19" s="28" t="s">
        <v>4</v>
      </c>
      <c r="C19" s="44">
        <v>1.0</v>
      </c>
      <c r="D19" s="32">
        <v>0.002233506330704439</v>
      </c>
      <c r="E19" s="30">
        <v>17850.0</v>
      </c>
      <c r="F19" s="31">
        <v>20175.0</v>
      </c>
      <c r="G19" s="31">
        <v>17850.0</v>
      </c>
      <c r="H19" s="31">
        <v>20175.0</v>
      </c>
      <c r="I19" s="31">
        <v>2325.0</v>
      </c>
      <c r="J19" s="32">
        <v>0.13025210084033614</v>
      </c>
      <c r="K19" s="36" t="s">
        <v>114</v>
      </c>
      <c r="M19" s="72" t="s">
        <v>122</v>
      </c>
      <c r="N19" s="73"/>
    </row>
    <row r="20">
      <c r="A20" s="39" t="s">
        <v>64</v>
      </c>
      <c r="B20" s="28" t="s">
        <v>4</v>
      </c>
      <c r="C20" s="44">
        <v>1.0</v>
      </c>
      <c r="D20" s="32">
        <v>0.002048072719605062</v>
      </c>
      <c r="E20" s="30">
        <v>15000.0</v>
      </c>
      <c r="F20" s="31">
        <v>18500.0</v>
      </c>
      <c r="G20" s="31">
        <v>15000.0</v>
      </c>
      <c r="H20" s="31">
        <v>18500.0</v>
      </c>
      <c r="I20" s="31">
        <v>3500.0</v>
      </c>
      <c r="J20" s="32">
        <v>0.23333333333333334</v>
      </c>
      <c r="K20" s="36" t="s">
        <v>114</v>
      </c>
      <c r="M20" s="56" t="s">
        <v>1</v>
      </c>
      <c r="N20" s="31">
        <v>0.0</v>
      </c>
    </row>
    <row r="21">
      <c r="A21" s="37" t="s">
        <v>65</v>
      </c>
      <c r="B21" s="28" t="s">
        <v>4</v>
      </c>
      <c r="C21" s="44">
        <v>9.0</v>
      </c>
      <c r="D21" s="32">
        <v>0.0035022043505246563</v>
      </c>
      <c r="E21" s="30">
        <v>3655.0</v>
      </c>
      <c r="F21" s="31">
        <v>3515.0</v>
      </c>
      <c r="G21" s="31">
        <v>32895.0</v>
      </c>
      <c r="H21" s="31">
        <v>31635.0</v>
      </c>
      <c r="I21" s="31">
        <v>-1260.0</v>
      </c>
      <c r="J21" s="32">
        <v>-0.038303693570451436</v>
      </c>
      <c r="K21" s="36" t="s">
        <v>114</v>
      </c>
      <c r="M21" s="58" t="s">
        <v>2</v>
      </c>
      <c r="N21" s="31">
        <v>-19123.5</v>
      </c>
    </row>
    <row r="22">
      <c r="A22" s="39" t="s">
        <v>66</v>
      </c>
      <c r="B22" s="28" t="s">
        <v>4</v>
      </c>
      <c r="C22" s="44">
        <v>1.0</v>
      </c>
      <c r="D22" s="32">
        <v>0.0017962151284103855</v>
      </c>
      <c r="E22" s="30">
        <v>17775.0</v>
      </c>
      <c r="F22" s="31">
        <v>16225.0</v>
      </c>
      <c r="G22" s="31">
        <v>17775.0</v>
      </c>
      <c r="H22" s="31">
        <v>16225.0</v>
      </c>
      <c r="I22" s="31">
        <v>-1550.0</v>
      </c>
      <c r="J22" s="32">
        <v>-0.08720112517580872</v>
      </c>
      <c r="K22" s="36" t="s">
        <v>114</v>
      </c>
      <c r="M22" s="56" t="s">
        <v>3</v>
      </c>
      <c r="N22" s="31">
        <v>-78395.2315</v>
      </c>
    </row>
    <row r="23">
      <c r="A23" s="35" t="s">
        <v>67</v>
      </c>
      <c r="B23" s="28" t="s">
        <v>4</v>
      </c>
      <c r="C23" s="44">
        <v>1.0</v>
      </c>
      <c r="D23" s="32">
        <v>8.564265166953924E-4</v>
      </c>
      <c r="E23" s="30">
        <v>7790.0</v>
      </c>
      <c r="F23" s="30">
        <v>7736.0</v>
      </c>
      <c r="G23" s="31">
        <v>7790.0</v>
      </c>
      <c r="H23" s="31">
        <v>7736.0</v>
      </c>
      <c r="I23" s="31">
        <v>-54.0</v>
      </c>
      <c r="J23" s="32">
        <v>-0.00693196405648267</v>
      </c>
      <c r="K23" s="36" t="s">
        <v>114</v>
      </c>
      <c r="M23" s="58" t="s">
        <v>4</v>
      </c>
      <c r="N23" s="31">
        <v>-38669.0</v>
      </c>
    </row>
    <row r="24">
      <c r="A24" s="38" t="s">
        <v>68</v>
      </c>
      <c r="B24" s="28" t="s">
        <v>4</v>
      </c>
      <c r="C24" s="44">
        <v>2.0</v>
      </c>
      <c r="D24" s="32">
        <v>0.0075834043942133375</v>
      </c>
      <c r="E24" s="30">
        <v>35825.0</v>
      </c>
      <c r="F24" s="31">
        <v>34250.0</v>
      </c>
      <c r="G24" s="31">
        <v>71650.0</v>
      </c>
      <c r="H24" s="31">
        <v>68500.0</v>
      </c>
      <c r="I24" s="31">
        <v>-3150.0</v>
      </c>
      <c r="J24" s="32">
        <v>-0.04396371249127704</v>
      </c>
      <c r="K24" s="36" t="s">
        <v>114</v>
      </c>
      <c r="M24" s="56" t="s">
        <v>5</v>
      </c>
      <c r="N24" s="31">
        <v>1543.0</v>
      </c>
    </row>
    <row r="25">
      <c r="A25" s="35" t="s">
        <v>70</v>
      </c>
      <c r="B25" s="28" t="s">
        <v>4</v>
      </c>
      <c r="C25" s="44">
        <v>3.0</v>
      </c>
      <c r="D25" s="32">
        <v>0.005596220323028967</v>
      </c>
      <c r="E25" s="30">
        <v>21041.666666666668</v>
      </c>
      <c r="F25" s="31">
        <v>16850.0</v>
      </c>
      <c r="G25" s="31">
        <v>63125.0</v>
      </c>
      <c r="H25" s="31">
        <v>50550.0</v>
      </c>
      <c r="I25" s="31">
        <v>-12575.0</v>
      </c>
      <c r="J25" s="32">
        <v>-0.19920792079207922</v>
      </c>
      <c r="K25" s="36" t="s">
        <v>114</v>
      </c>
      <c r="M25" s="56" t="s">
        <v>6</v>
      </c>
      <c r="N25" s="31">
        <v>5029146.543107711</v>
      </c>
    </row>
    <row r="26">
      <c r="A26" s="36" t="s">
        <v>55</v>
      </c>
      <c r="B26" s="28" t="s">
        <v>3</v>
      </c>
      <c r="C26" s="44">
        <v>60.0</v>
      </c>
      <c r="D26" s="32">
        <v>0.005440123969805013</v>
      </c>
      <c r="E26" s="30">
        <v>740.0</v>
      </c>
      <c r="F26" s="30">
        <v>819.0</v>
      </c>
      <c r="G26" s="31">
        <v>44400.0</v>
      </c>
      <c r="H26" s="31">
        <v>49140.0</v>
      </c>
      <c r="I26" s="31">
        <v>4740.0</v>
      </c>
      <c r="J26" s="32">
        <v>0.10675675675675676</v>
      </c>
      <c r="K26" s="36" t="s">
        <v>114</v>
      </c>
      <c r="M26" s="61" t="s">
        <v>7</v>
      </c>
      <c r="N26" s="31">
        <v>8015.030039999867</v>
      </c>
    </row>
    <row r="27">
      <c r="A27" s="36" t="s">
        <v>57</v>
      </c>
      <c r="B27" s="28" t="s">
        <v>3</v>
      </c>
      <c r="C27" s="44">
        <v>163.0</v>
      </c>
      <c r="D27" s="32">
        <v>0.014977500445155072</v>
      </c>
      <c r="E27" s="30">
        <v>770.0</v>
      </c>
      <c r="F27" s="30">
        <v>830.0</v>
      </c>
      <c r="G27" s="31">
        <v>125510.0</v>
      </c>
      <c r="H27" s="31">
        <v>135290.0</v>
      </c>
      <c r="I27" s="31">
        <v>9780.0</v>
      </c>
      <c r="J27" s="32">
        <v>0.07792207792207792</v>
      </c>
      <c r="K27" s="36" t="s">
        <v>114</v>
      </c>
      <c r="M27" s="56" t="s">
        <v>8</v>
      </c>
      <c r="N27" s="31">
        <v>-752.0</v>
      </c>
    </row>
    <row r="28">
      <c r="A28" s="36" t="s">
        <v>81</v>
      </c>
      <c r="B28" s="28" t="s">
        <v>3</v>
      </c>
      <c r="C28" s="44">
        <v>444714.0</v>
      </c>
      <c r="D28" s="32">
        <v>0.05154673092775613</v>
      </c>
      <c r="E28" s="30">
        <v>1.11175</v>
      </c>
      <c r="F28" s="30">
        <v>1.047</v>
      </c>
      <c r="G28" s="31">
        <v>494410.7895</v>
      </c>
      <c r="H28" s="31">
        <v>465615.55799999996</v>
      </c>
      <c r="I28" s="31">
        <v>-28795.231500000053</v>
      </c>
      <c r="J28" s="32">
        <v>-0.058241511131099724</v>
      </c>
      <c r="K28" s="36" t="s">
        <v>115</v>
      </c>
    </row>
    <row r="29">
      <c r="A29" s="36" t="s">
        <v>80</v>
      </c>
      <c r="B29" s="28" t="s">
        <v>5</v>
      </c>
      <c r="C29" s="44">
        <v>12.0</v>
      </c>
      <c r="D29" s="32">
        <v>0.0016871690944206025</v>
      </c>
      <c r="E29" s="30">
        <v>1169.0</v>
      </c>
      <c r="F29" s="30">
        <v>1270.0</v>
      </c>
      <c r="G29" s="31">
        <v>14028.0</v>
      </c>
      <c r="H29" s="31">
        <v>15240.0</v>
      </c>
      <c r="I29" s="31">
        <v>1212.0</v>
      </c>
      <c r="J29" s="32">
        <v>0.08639863130881095</v>
      </c>
      <c r="K29" s="36" t="s">
        <v>114</v>
      </c>
    </row>
    <row r="30">
      <c r="A30" s="36" t="s">
        <v>71</v>
      </c>
      <c r="B30" s="28" t="s">
        <v>5</v>
      </c>
      <c r="C30" s="44">
        <v>19.0</v>
      </c>
      <c r="D30" s="32">
        <v>0.00264610995372974</v>
      </c>
      <c r="E30" s="30">
        <v>1670.7894736842106</v>
      </c>
      <c r="F30" s="30">
        <v>1258.0</v>
      </c>
      <c r="G30" s="31">
        <v>31745.000000000004</v>
      </c>
      <c r="H30" s="31">
        <v>23902.0</v>
      </c>
      <c r="I30" s="31">
        <v>-7843.000000000004</v>
      </c>
      <c r="J30" s="32">
        <v>-0.2470625295322099</v>
      </c>
      <c r="K30" s="36" t="s">
        <v>114</v>
      </c>
    </row>
    <row r="31">
      <c r="A31" s="41" t="s">
        <v>72</v>
      </c>
      <c r="B31" s="28" t="s">
        <v>6</v>
      </c>
      <c r="C31" s="44">
        <v>10501.993</v>
      </c>
      <c r="D31" s="32">
        <v>0.13219952560549525</v>
      </c>
      <c r="E31" s="30">
        <v>104.14000000000001</v>
      </c>
      <c r="F31" s="30">
        <v>113.7063</v>
      </c>
      <c r="G31" s="31">
        <v>1093677.5510200001</v>
      </c>
      <c r="H31" s="31">
        <v>1194142.7666559</v>
      </c>
      <c r="I31" s="31">
        <v>100465.21563589992</v>
      </c>
      <c r="J31" s="32">
        <v>0.09185999615901662</v>
      </c>
      <c r="K31" s="36" t="s">
        <v>115</v>
      </c>
    </row>
    <row r="32">
      <c r="A32" s="66" t="s">
        <v>73</v>
      </c>
      <c r="B32" s="28" t="s">
        <v>6</v>
      </c>
      <c r="C32" s="44">
        <v>120.775</v>
      </c>
      <c r="D32" s="32">
        <v>0.012302271193046695</v>
      </c>
      <c r="E32" s="30">
        <v>1067.0</v>
      </c>
      <c r="F32" s="30">
        <v>920.0991</v>
      </c>
      <c r="G32" s="31">
        <v>128866.925</v>
      </c>
      <c r="H32" s="31">
        <v>111124.9688025</v>
      </c>
      <c r="I32" s="31">
        <v>-17741.956197499996</v>
      </c>
      <c r="J32" s="32">
        <v>-0.1376765698219306</v>
      </c>
      <c r="K32" s="36" t="s">
        <v>115</v>
      </c>
    </row>
    <row r="33">
      <c r="A33" s="66" t="s">
        <v>83</v>
      </c>
      <c r="B33" s="28" t="s">
        <v>6</v>
      </c>
      <c r="C33" s="44">
        <v>93074.373</v>
      </c>
      <c r="D33" s="32">
        <v>0.054892235494516585</v>
      </c>
      <c r="E33" s="30">
        <v>5.34195</v>
      </c>
      <c r="F33" s="30">
        <v>5.3273</v>
      </c>
      <c r="G33" s="31">
        <v>497198.64684735</v>
      </c>
      <c r="H33" s="31">
        <v>495835.1072829001</v>
      </c>
      <c r="I33" s="31">
        <v>-1363.5395644499222</v>
      </c>
      <c r="J33" s="32">
        <v>-0.002742444238526973</v>
      </c>
      <c r="K33" s="36" t="s">
        <v>115</v>
      </c>
    </row>
    <row r="34">
      <c r="A34" s="36" t="s">
        <v>84</v>
      </c>
      <c r="B34" s="28" t="s">
        <v>6</v>
      </c>
      <c r="C34" s="44">
        <v>13039.771086</v>
      </c>
      <c r="D34" s="32">
        <v>0.11607582833397477</v>
      </c>
      <c r="E34" s="30">
        <v>80.36389159475553</v>
      </c>
      <c r="F34" s="30">
        <v>80.4078</v>
      </c>
      <c r="G34" s="31">
        <v>1047926.7499757316</v>
      </c>
      <c r="H34" s="31">
        <v>1048499.3055288708</v>
      </c>
      <c r="I34" s="31">
        <v>572.5555531391874</v>
      </c>
      <c r="J34" s="32">
        <v>5.463698232270976E-4</v>
      </c>
      <c r="K34" s="36" t="s">
        <v>115</v>
      </c>
    </row>
    <row r="35">
      <c r="A35" s="36" t="s">
        <v>90</v>
      </c>
      <c r="B35" s="28" t="s">
        <v>6</v>
      </c>
      <c r="C35" s="44">
        <v>38715.0435</v>
      </c>
      <c r="D35" s="32">
        <v>0.0558188789931283</v>
      </c>
      <c r="E35" s="30">
        <v>12.9</v>
      </c>
      <c r="F35" s="30">
        <v>13.0235</v>
      </c>
      <c r="G35" s="31">
        <v>499424.06115</v>
      </c>
      <c r="H35" s="31">
        <v>504205.36902225</v>
      </c>
      <c r="I35" s="31">
        <v>4781.307872249978</v>
      </c>
      <c r="J35" s="32">
        <v>0.009573643410852668</v>
      </c>
      <c r="K35" s="36" t="s">
        <v>115</v>
      </c>
    </row>
    <row r="36">
      <c r="A36" s="36" t="s">
        <v>85</v>
      </c>
      <c r="B36" s="28" t="s">
        <v>6</v>
      </c>
      <c r="C36" s="44">
        <v>15844.09</v>
      </c>
      <c r="D36" s="32">
        <v>0.1061462205606378</v>
      </c>
      <c r="E36" s="30">
        <v>60.20324452696116</v>
      </c>
      <c r="F36" s="30">
        <v>60.515077</v>
      </c>
      <c r="G36" s="31">
        <v>953865.62457718</v>
      </c>
      <c r="H36" s="31">
        <v>958806.32634493</v>
      </c>
      <c r="I36" s="31">
        <v>4940.701767749968</v>
      </c>
      <c r="J36" s="32">
        <v>0.005179662250581713</v>
      </c>
      <c r="K36" s="36" t="s">
        <v>117</v>
      </c>
    </row>
    <row r="37">
      <c r="A37" s="36" t="s">
        <v>86</v>
      </c>
      <c r="B37" s="28" t="s">
        <v>6</v>
      </c>
      <c r="C37" s="44">
        <v>9615.98</v>
      </c>
      <c r="D37" s="32">
        <v>0.11154688423119546</v>
      </c>
      <c r="E37" s="30">
        <v>103.993638</v>
      </c>
      <c r="F37" s="30">
        <v>104.78286</v>
      </c>
      <c r="G37" s="31">
        <v>1000000.74313524</v>
      </c>
      <c r="H37" s="31">
        <v>1007589.8861027999</v>
      </c>
      <c r="I37" s="31">
        <v>7589.142967559863</v>
      </c>
      <c r="J37" s="32">
        <v>0.007589137327804473</v>
      </c>
      <c r="K37" s="36" t="s">
        <v>117</v>
      </c>
    </row>
    <row r="38">
      <c r="A38" s="36" t="s">
        <v>87</v>
      </c>
      <c r="B38" s="28" t="s">
        <v>6</v>
      </c>
      <c r="C38" s="44">
        <v>2374.82</v>
      </c>
      <c r="D38" s="32">
        <v>0.11254907208387215</v>
      </c>
      <c r="E38" s="30">
        <v>421.085741</v>
      </c>
      <c r="F38" s="30">
        <v>428.092458</v>
      </c>
      <c r="G38" s="31">
        <v>1000002.83944162</v>
      </c>
      <c r="H38" s="31">
        <v>1016642.5311075601</v>
      </c>
      <c r="I38" s="31">
        <v>16639.691665940103</v>
      </c>
      <c r="J38" s="32">
        <v>0.016639644418641197</v>
      </c>
      <c r="K38" s="36" t="s">
        <v>117</v>
      </c>
    </row>
    <row r="39">
      <c r="A39" s="36" t="s">
        <v>89</v>
      </c>
      <c r="B39" s="28" t="s">
        <v>7</v>
      </c>
      <c r="C39" s="44">
        <v>857590.0</v>
      </c>
      <c r="D39" s="32">
        <v>0.12560681310329067</v>
      </c>
      <c r="E39" s="30">
        <v>-0.004083566272927683</v>
      </c>
      <c r="F39" s="30">
        <v>1.323</v>
      </c>
      <c r="G39" s="31">
        <v>-3502.025600000052</v>
      </c>
      <c r="H39" s="31">
        <v>1134591.57</v>
      </c>
      <c r="I39" s="31">
        <v>1138093.5956000001</v>
      </c>
      <c r="J39" s="32">
        <v>-324.98151801060027</v>
      </c>
      <c r="K39" s="36" t="s">
        <v>115</v>
      </c>
    </row>
    <row r="40">
      <c r="A40" s="36" t="s">
        <v>77</v>
      </c>
      <c r="B40" s="28" t="s">
        <v>8</v>
      </c>
      <c r="C40" s="67">
        <v>1.0</v>
      </c>
      <c r="D40" s="32">
        <v>0.002370007609800279</v>
      </c>
      <c r="E40" s="30">
        <v>22000.0</v>
      </c>
      <c r="F40" s="30">
        <v>21408.0</v>
      </c>
      <c r="G40" s="31">
        <v>22000.0</v>
      </c>
      <c r="H40" s="31">
        <v>21408.0</v>
      </c>
      <c r="I40" s="31">
        <v>-592.0</v>
      </c>
      <c r="J40" s="32">
        <v>-0.02690909090909091</v>
      </c>
      <c r="K40" s="36" t="s">
        <v>116</v>
      </c>
    </row>
    <row r="41">
      <c r="A41" s="16"/>
      <c r="B41" s="40"/>
      <c r="C41" s="68"/>
      <c r="D41" s="69"/>
      <c r="E41" s="70"/>
      <c r="F41" s="70"/>
      <c r="G41" s="71"/>
      <c r="H41" s="71"/>
      <c r="I41" s="71"/>
      <c r="J41" s="69"/>
      <c r="K41" s="16"/>
    </row>
    <row r="42">
      <c r="A42" s="16"/>
      <c r="B42" s="40"/>
      <c r="C42" s="68"/>
      <c r="D42" s="69"/>
      <c r="E42" s="70"/>
      <c r="F42" s="70"/>
      <c r="G42" s="71"/>
      <c r="H42" s="71"/>
      <c r="I42" s="71"/>
      <c r="J42" s="69"/>
      <c r="K42" s="16"/>
    </row>
  </sheetData>
  <mergeCells count="1">
    <mergeCell ref="M19:N19"/>
  </mergeCells>
  <conditionalFormatting sqref="C2:D2 I5:J997 N20:N27">
    <cfRule type="cellIs" dxfId="0" priority="1" operator="greaterThan">
      <formula>0</formula>
    </cfRule>
  </conditionalFormatting>
  <conditionalFormatting sqref="C2:D2 I5:J997 N20:N27">
    <cfRule type="cellIs" dxfId="1" priority="2" operator="lessThan">
      <formula>0</formula>
    </cfRule>
  </conditionalFormatting>
  <conditionalFormatting sqref="C2:D2 I5:J997 N20:N27">
    <cfRule type="cellIs" dxfId="3" priority="3" operator="equal">
      <formula>0</formula>
    </cfRule>
  </conditionalFormatting>
  <conditionalFormatting sqref="C2:C997">
    <cfRule type="cellIs" dxfId="2" priority="4" operator="equal">
      <formula>0</formula>
    </cfRule>
  </conditionalFormatting>
  <dataValidations>
    <dataValidation type="list" allowBlank="1" sqref="B5:B25">
      <formula1>"Acciones,Cedear,Opciones,Opc Negociables,Bonos,FCI,FCI/Jardin,FCI/Cobertura,Letras"</formula1>
    </dataValidation>
    <dataValidation type="list" allowBlank="1" showErrorMessage="1" sqref="K5:K42">
      <formula1>"Eco,Ppi,Binance,Galicia"</formula1>
    </dataValidation>
    <dataValidation type="list" allowBlank="1" sqref="B26:B42">
      <formula1>"Acciones,Cedear,Opc/Futuros,ON,Bonos,FCI,Letras,Cripto"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6.25"/>
    <col customWidth="1" min="4" max="4" width="13.75"/>
    <col customWidth="1" min="5" max="5" width="20.0"/>
    <col customWidth="1" min="6" max="6" width="20.63"/>
    <col customWidth="1" min="7" max="7" width="18.25"/>
    <col customWidth="1" min="8" max="8" width="14.75"/>
    <col customWidth="1" min="9" max="9" width="15.25"/>
    <col customWidth="1" min="10" max="10" width="16.25"/>
    <col customWidth="1" min="11" max="11" width="13.88"/>
    <col customWidth="1" min="13" max="13" width="14.5"/>
  </cols>
  <sheetData>
    <row r="1">
      <c r="A1" s="54" t="s">
        <v>101</v>
      </c>
      <c r="C1" s="55" t="s">
        <v>40</v>
      </c>
      <c r="D1" s="55" t="s">
        <v>41</v>
      </c>
      <c r="E1" s="55" t="s">
        <v>102</v>
      </c>
      <c r="F1" s="55" t="s">
        <v>103</v>
      </c>
      <c r="G1" s="26" t="s">
        <v>9</v>
      </c>
      <c r="H1" s="55" t="s">
        <v>104</v>
      </c>
      <c r="I1" s="55" t="s">
        <v>105</v>
      </c>
      <c r="M1" s="56" t="s">
        <v>1</v>
      </c>
      <c r="N1" s="9">
        <v>0.0</v>
      </c>
    </row>
    <row r="2">
      <c r="C2" s="57">
        <v>-26609.188319999987</v>
      </c>
      <c r="D2" s="32">
        <v>-0.006399936795430605</v>
      </c>
      <c r="E2" s="31">
        <v>4157726.73552</v>
      </c>
      <c r="F2" s="57">
        <v>4131117.5472</v>
      </c>
      <c r="G2" s="57">
        <v>161005.18159999972</v>
      </c>
      <c r="H2" s="57">
        <v>4318731.917119999</v>
      </c>
      <c r="I2" s="57">
        <v>4292122.7288</v>
      </c>
      <c r="M2" s="58" t="s">
        <v>2</v>
      </c>
      <c r="N2" s="9">
        <v>429801.5</v>
      </c>
    </row>
    <row r="3">
      <c r="J3" s="59"/>
      <c r="M3" s="56" t="s">
        <v>3</v>
      </c>
      <c r="N3" s="9">
        <v>728440.7895</v>
      </c>
    </row>
    <row r="4">
      <c r="A4" s="26" t="s">
        <v>32</v>
      </c>
      <c r="B4" s="26" t="s">
        <v>34</v>
      </c>
      <c r="C4" s="26" t="s">
        <v>106</v>
      </c>
      <c r="D4" s="26" t="s">
        <v>107</v>
      </c>
      <c r="E4" s="26" t="s">
        <v>108</v>
      </c>
      <c r="F4" s="26" t="s">
        <v>109</v>
      </c>
      <c r="G4" s="26" t="s">
        <v>110</v>
      </c>
      <c r="H4" s="26" t="s">
        <v>111</v>
      </c>
      <c r="I4" s="26" t="s">
        <v>40</v>
      </c>
      <c r="J4" s="26" t="s">
        <v>41</v>
      </c>
      <c r="K4" s="26" t="s">
        <v>112</v>
      </c>
      <c r="L4" s="27"/>
      <c r="M4" s="58" t="s">
        <v>4</v>
      </c>
      <c r="N4" s="9">
        <v>478840.0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9" t="s">
        <v>44</v>
      </c>
      <c r="B5" s="28" t="s">
        <v>2</v>
      </c>
      <c r="C5" s="44">
        <v>15.0</v>
      </c>
      <c r="D5" s="32">
        <v>0.0028503183134987024</v>
      </c>
      <c r="E5" s="30">
        <v>984.0</v>
      </c>
      <c r="F5" s="30">
        <v>785.0</v>
      </c>
      <c r="G5" s="31">
        <v>14760.0</v>
      </c>
      <c r="H5" s="31">
        <v>11775.0</v>
      </c>
      <c r="I5" s="31">
        <v>-2985.0</v>
      </c>
      <c r="J5" s="32">
        <v>-0.20223577235772358</v>
      </c>
      <c r="K5" s="36" t="s">
        <v>114</v>
      </c>
      <c r="M5" s="56" t="s">
        <v>5</v>
      </c>
      <c r="N5" s="9">
        <v>37599.0</v>
      </c>
    </row>
    <row r="6">
      <c r="A6" s="33" t="s">
        <v>46</v>
      </c>
      <c r="B6" s="28" t="s">
        <v>2</v>
      </c>
      <c r="C6" s="44">
        <v>30.0</v>
      </c>
      <c r="D6" s="32">
        <v>0.0034893705723213412</v>
      </c>
      <c r="E6" s="30">
        <v>371.26666666666665</v>
      </c>
      <c r="F6" s="31">
        <v>480.5</v>
      </c>
      <c r="G6" s="31">
        <v>11138.0</v>
      </c>
      <c r="H6" s="31">
        <v>14415.0</v>
      </c>
      <c r="I6" s="31">
        <v>3277.0</v>
      </c>
      <c r="J6" s="32">
        <v>0.29421799245825103</v>
      </c>
      <c r="K6" s="36" t="s">
        <v>114</v>
      </c>
      <c r="M6" s="56" t="s">
        <v>6</v>
      </c>
      <c r="N6" s="9">
        <v>1307699.71774</v>
      </c>
    </row>
    <row r="7">
      <c r="A7" s="33" t="s">
        <v>47</v>
      </c>
      <c r="B7" s="28" t="s">
        <v>2</v>
      </c>
      <c r="C7" s="44">
        <v>20.0</v>
      </c>
      <c r="D7" s="32">
        <v>0.007286164011576301</v>
      </c>
      <c r="E7" s="30">
        <v>1740.0</v>
      </c>
      <c r="F7" s="31">
        <v>1505.0</v>
      </c>
      <c r="G7" s="31">
        <v>34800.0</v>
      </c>
      <c r="H7" s="31">
        <v>30100.0</v>
      </c>
      <c r="I7" s="31">
        <v>-4700.0</v>
      </c>
      <c r="J7" s="32">
        <v>-0.13505747126436782</v>
      </c>
      <c r="K7" s="36" t="s">
        <v>114</v>
      </c>
      <c r="M7" s="61" t="s">
        <v>7</v>
      </c>
      <c r="N7" s="9">
        <v>1126576.5399600002</v>
      </c>
    </row>
    <row r="8">
      <c r="A8" s="33" t="s">
        <v>48</v>
      </c>
      <c r="B8" s="28" t="s">
        <v>2</v>
      </c>
      <c r="C8" s="44">
        <v>46.0</v>
      </c>
      <c r="D8" s="32">
        <v>0.0019458415085400697</v>
      </c>
      <c r="E8" s="30">
        <v>232.2336956521739</v>
      </c>
      <c r="F8" s="31">
        <v>174.75</v>
      </c>
      <c r="G8" s="31">
        <v>10682.75</v>
      </c>
      <c r="H8" s="31">
        <v>8038.5</v>
      </c>
      <c r="I8" s="31">
        <v>-2644.25</v>
      </c>
      <c r="J8" s="32">
        <v>-0.24752521588542276</v>
      </c>
      <c r="K8" s="36" t="s">
        <v>114</v>
      </c>
      <c r="M8" s="61" t="s">
        <v>8</v>
      </c>
      <c r="N8" s="9">
        <v>22160.0</v>
      </c>
    </row>
    <row r="9">
      <c r="A9" s="33" t="s">
        <v>49</v>
      </c>
      <c r="B9" s="28" t="s">
        <v>2</v>
      </c>
      <c r="C9" s="44">
        <v>25.0</v>
      </c>
      <c r="D9" s="32">
        <v>0.009682609982161198</v>
      </c>
      <c r="E9" s="30">
        <v>1270.6</v>
      </c>
      <c r="F9" s="31">
        <v>1600.0</v>
      </c>
      <c r="G9" s="31">
        <v>31764.999999999996</v>
      </c>
      <c r="H9" s="31">
        <v>40000.0</v>
      </c>
      <c r="I9" s="31">
        <v>8235.000000000004</v>
      </c>
      <c r="J9" s="32">
        <v>0.25924759955926346</v>
      </c>
      <c r="K9" s="36" t="s">
        <v>114</v>
      </c>
      <c r="M9" s="62" t="s">
        <v>9</v>
      </c>
      <c r="N9" s="9">
        <v>50856.87</v>
      </c>
    </row>
    <row r="10">
      <c r="A10" s="33" t="s">
        <v>50</v>
      </c>
      <c r="B10" s="28" t="s">
        <v>2</v>
      </c>
      <c r="C10" s="44">
        <v>100.0</v>
      </c>
      <c r="D10" s="32">
        <v>0.006681000887691226</v>
      </c>
      <c r="E10" s="30">
        <v>394.0</v>
      </c>
      <c r="F10" s="30">
        <v>276.0</v>
      </c>
      <c r="G10" s="31">
        <v>39400.0</v>
      </c>
      <c r="H10" s="31">
        <v>27600.0</v>
      </c>
      <c r="I10" s="31">
        <v>-11800.0</v>
      </c>
      <c r="J10" s="32">
        <v>-0.29949238578680204</v>
      </c>
      <c r="K10" s="36" t="s">
        <v>114</v>
      </c>
      <c r="M10" s="62"/>
      <c r="N10" s="65"/>
    </row>
    <row r="11">
      <c r="A11" s="33" t="s">
        <v>51</v>
      </c>
      <c r="B11" s="28" t="s">
        <v>2</v>
      </c>
      <c r="C11" s="44">
        <v>20.0</v>
      </c>
      <c r="D11" s="32">
        <v>0.018493785065927887</v>
      </c>
      <c r="E11" s="30">
        <v>4200.0</v>
      </c>
      <c r="F11" s="31">
        <v>3820.0</v>
      </c>
      <c r="G11" s="31">
        <v>84000.0</v>
      </c>
      <c r="H11" s="31">
        <v>76400.0</v>
      </c>
      <c r="I11" s="31">
        <v>-7600.0</v>
      </c>
      <c r="J11" s="32">
        <v>-0.09047619047619047</v>
      </c>
      <c r="K11" s="36" t="s">
        <v>114</v>
      </c>
      <c r="M11" s="64" t="s">
        <v>10</v>
      </c>
      <c r="N11" s="65">
        <v>4181974.4172000005</v>
      </c>
    </row>
    <row r="12">
      <c r="A12" s="33" t="s">
        <v>52</v>
      </c>
      <c r="B12" s="28" t="s">
        <v>2</v>
      </c>
      <c r="C12" s="44">
        <v>7660.0</v>
      </c>
      <c r="D12" s="32">
        <v>0.049507668969289306</v>
      </c>
      <c r="E12" s="30">
        <v>40.0</v>
      </c>
      <c r="F12" s="31">
        <v>26.7</v>
      </c>
      <c r="G12" s="31">
        <v>306400.0</v>
      </c>
      <c r="H12" s="31">
        <v>204522.0</v>
      </c>
      <c r="I12" s="31">
        <v>-101878.0</v>
      </c>
      <c r="J12" s="32">
        <v>-0.3325</v>
      </c>
      <c r="K12" s="36" t="s">
        <v>114</v>
      </c>
    </row>
    <row r="13">
      <c r="A13" s="38" t="s">
        <v>54</v>
      </c>
      <c r="B13" s="28" t="s">
        <v>2</v>
      </c>
      <c r="C13" s="44">
        <v>23.0</v>
      </c>
      <c r="D13" s="32">
        <v>0.004103248045190361</v>
      </c>
      <c r="E13" s="30">
        <v>963.0</v>
      </c>
      <c r="F13" s="31">
        <v>737.0</v>
      </c>
      <c r="G13" s="31">
        <v>22149.0</v>
      </c>
      <c r="H13" s="31">
        <v>16951.0</v>
      </c>
      <c r="I13" s="31">
        <v>-5198.0</v>
      </c>
      <c r="J13" s="32">
        <v>-0.23468328141225336</v>
      </c>
      <c r="K13" s="36" t="s">
        <v>114</v>
      </c>
      <c r="M13" s="61" t="s">
        <v>115</v>
      </c>
      <c r="N13" s="9">
        <v>2928687.0472</v>
      </c>
    </row>
    <row r="14">
      <c r="A14" s="38" t="s">
        <v>58</v>
      </c>
      <c r="B14" s="28" t="s">
        <v>4</v>
      </c>
      <c r="C14" s="44">
        <v>45.0</v>
      </c>
      <c r="D14" s="32">
        <v>0.019117103083529513</v>
      </c>
      <c r="E14" s="30">
        <v>1895.0</v>
      </c>
      <c r="F14" s="30">
        <v>1755.0</v>
      </c>
      <c r="G14" s="31">
        <v>85275.0</v>
      </c>
      <c r="H14" s="31">
        <v>78975.0</v>
      </c>
      <c r="I14" s="31">
        <v>-6300.0</v>
      </c>
      <c r="J14" s="32">
        <v>-0.07387862796833773</v>
      </c>
      <c r="K14" s="36" t="s">
        <v>114</v>
      </c>
      <c r="M14" s="61" t="s">
        <v>116</v>
      </c>
      <c r="N14" s="9">
        <v>22160.0</v>
      </c>
    </row>
    <row r="15">
      <c r="A15" s="35" t="s">
        <v>59</v>
      </c>
      <c r="B15" s="28" t="s">
        <v>4</v>
      </c>
      <c r="C15" s="44">
        <v>1.0</v>
      </c>
      <c r="D15" s="32">
        <v>0.004756582153736688</v>
      </c>
      <c r="E15" s="30">
        <v>11400.0</v>
      </c>
      <c r="F15" s="31">
        <v>19650.0</v>
      </c>
      <c r="G15" s="31">
        <v>11400.0</v>
      </c>
      <c r="H15" s="31">
        <v>19650.0</v>
      </c>
      <c r="I15" s="31">
        <v>8250.0</v>
      </c>
      <c r="J15" s="32">
        <v>0.7236842105263158</v>
      </c>
      <c r="K15" s="36" t="s">
        <v>114</v>
      </c>
      <c r="M15" s="64" t="s">
        <v>9</v>
      </c>
      <c r="N15" s="9">
        <v>50856.87</v>
      </c>
    </row>
    <row r="16">
      <c r="A16" s="35" t="s">
        <v>60</v>
      </c>
      <c r="B16" s="28" t="s">
        <v>4</v>
      </c>
      <c r="C16" s="44">
        <v>5.0</v>
      </c>
      <c r="D16" s="32">
        <v>0.008133392385015406</v>
      </c>
      <c r="E16" s="30">
        <v>7400.0</v>
      </c>
      <c r="F16" s="30">
        <v>6720.0</v>
      </c>
      <c r="G16" s="31">
        <v>37000.0</v>
      </c>
      <c r="H16" s="31">
        <v>33600.0</v>
      </c>
      <c r="I16" s="31">
        <v>-3400.0</v>
      </c>
      <c r="J16" s="32">
        <v>-0.0918918918918919</v>
      </c>
      <c r="K16" s="36" t="s">
        <v>114</v>
      </c>
      <c r="M16" s="64" t="s">
        <v>10</v>
      </c>
      <c r="N16" s="65">
        <v>4181974.4172</v>
      </c>
    </row>
    <row r="17">
      <c r="A17" s="35" t="s">
        <v>61</v>
      </c>
      <c r="B17" s="28" t="s">
        <v>4</v>
      </c>
      <c r="C17" s="44">
        <v>5.0</v>
      </c>
      <c r="D17" s="32">
        <v>0.005022853928246121</v>
      </c>
      <c r="E17" s="30">
        <v>5970.0</v>
      </c>
      <c r="F17" s="30">
        <v>4150.0</v>
      </c>
      <c r="G17" s="31">
        <v>29850.0</v>
      </c>
      <c r="H17" s="31">
        <v>20750.0</v>
      </c>
      <c r="I17" s="31">
        <v>-9100.0</v>
      </c>
      <c r="J17" s="32">
        <v>-0.304857621440536</v>
      </c>
      <c r="K17" s="36" t="s">
        <v>114</v>
      </c>
    </row>
    <row r="18">
      <c r="A18" s="38" t="s">
        <v>62</v>
      </c>
      <c r="B18" s="28" t="s">
        <v>4</v>
      </c>
      <c r="C18" s="44">
        <v>25.0</v>
      </c>
      <c r="D18" s="32">
        <v>0.022027937709416724</v>
      </c>
      <c r="E18" s="30">
        <v>3995.0</v>
      </c>
      <c r="F18" s="31">
        <v>3640.0</v>
      </c>
      <c r="G18" s="31">
        <v>99875.0</v>
      </c>
      <c r="H18" s="31">
        <v>91000.0</v>
      </c>
      <c r="I18" s="31">
        <v>-8875.0</v>
      </c>
      <c r="J18" s="32">
        <v>-0.08886107634543179</v>
      </c>
      <c r="K18" s="36" t="s">
        <v>114</v>
      </c>
      <c r="M18" s="72" t="s">
        <v>123</v>
      </c>
      <c r="N18" s="73"/>
    </row>
    <row r="19">
      <c r="A19" s="37" t="s">
        <v>63</v>
      </c>
      <c r="B19" s="28" t="s">
        <v>4</v>
      </c>
      <c r="C19" s="44">
        <v>1.0</v>
      </c>
      <c r="D19" s="32">
        <v>0.00493813109090221</v>
      </c>
      <c r="E19" s="30">
        <v>17850.0</v>
      </c>
      <c r="F19" s="31">
        <v>20400.0</v>
      </c>
      <c r="G19" s="31">
        <v>17850.0</v>
      </c>
      <c r="H19" s="31">
        <v>20400.0</v>
      </c>
      <c r="I19" s="31">
        <v>2550.0</v>
      </c>
      <c r="J19" s="32">
        <v>0.14285714285714285</v>
      </c>
      <c r="K19" s="36" t="s">
        <v>114</v>
      </c>
      <c r="M19" s="56" t="s">
        <v>1</v>
      </c>
      <c r="N19" s="31">
        <v>0.0</v>
      </c>
    </row>
    <row r="20">
      <c r="A20" s="39" t="s">
        <v>64</v>
      </c>
      <c r="B20" s="28" t="s">
        <v>4</v>
      </c>
      <c r="C20" s="44">
        <v>1.0</v>
      </c>
      <c r="D20" s="32">
        <v>0.004169573923568166</v>
      </c>
      <c r="E20" s="30">
        <v>15000.0</v>
      </c>
      <c r="F20" s="31">
        <v>17225.0</v>
      </c>
      <c r="G20" s="31">
        <v>15000.0</v>
      </c>
      <c r="H20" s="31">
        <v>17225.0</v>
      </c>
      <c r="I20" s="31">
        <v>2225.0</v>
      </c>
      <c r="J20" s="32">
        <v>0.14833333333333334</v>
      </c>
      <c r="K20" s="36" t="s">
        <v>114</v>
      </c>
      <c r="M20" s="58" t="s">
        <v>2</v>
      </c>
      <c r="N20" s="31">
        <v>-48487.0</v>
      </c>
    </row>
    <row r="21">
      <c r="A21" s="37" t="s">
        <v>65</v>
      </c>
      <c r="B21" s="28" t="s">
        <v>4</v>
      </c>
      <c r="C21" s="44">
        <v>9.0</v>
      </c>
      <c r="D21" s="32">
        <v>0.008354882088357343</v>
      </c>
      <c r="E21" s="30">
        <v>3655.0</v>
      </c>
      <c r="F21" s="30">
        <v>3835.0</v>
      </c>
      <c r="G21" s="31">
        <v>32895.0</v>
      </c>
      <c r="H21" s="31">
        <v>34515.0</v>
      </c>
      <c r="I21" s="31">
        <v>1620.0</v>
      </c>
      <c r="J21" s="32">
        <v>0.049247606019151846</v>
      </c>
      <c r="K21" s="36" t="s">
        <v>114</v>
      </c>
      <c r="M21" s="56" t="s">
        <v>3</v>
      </c>
      <c r="N21" s="31">
        <v>502832.78949999996</v>
      </c>
    </row>
    <row r="22">
      <c r="A22" s="39" t="s">
        <v>66</v>
      </c>
      <c r="B22" s="28" t="s">
        <v>4</v>
      </c>
      <c r="C22" s="44">
        <v>1.0</v>
      </c>
      <c r="D22" s="32">
        <v>0.003945663567730688</v>
      </c>
      <c r="E22" s="30">
        <v>17775.0</v>
      </c>
      <c r="F22" s="31">
        <v>16300.0</v>
      </c>
      <c r="G22" s="31">
        <v>17775.0</v>
      </c>
      <c r="H22" s="31">
        <v>16300.0</v>
      </c>
      <c r="I22" s="31">
        <v>-1475.0</v>
      </c>
      <c r="J22" s="32">
        <v>-0.0829817158931083</v>
      </c>
      <c r="K22" s="36" t="s">
        <v>114</v>
      </c>
      <c r="M22" s="58" t="s">
        <v>4</v>
      </c>
      <c r="N22" s="31">
        <v>-15150.0</v>
      </c>
    </row>
    <row r="23">
      <c r="A23" s="35" t="s">
        <v>67</v>
      </c>
      <c r="B23" s="28" t="s">
        <v>4</v>
      </c>
      <c r="C23" s="44">
        <v>1.0</v>
      </c>
      <c r="D23" s="32">
        <v>0.0019486252589099408</v>
      </c>
      <c r="E23" s="30">
        <v>7790.0</v>
      </c>
      <c r="F23" s="30">
        <v>8050.0</v>
      </c>
      <c r="G23" s="31">
        <v>7790.0</v>
      </c>
      <c r="H23" s="31">
        <v>8050.0</v>
      </c>
      <c r="I23" s="31">
        <v>260.0</v>
      </c>
      <c r="J23" s="32">
        <v>0.03337612323491656</v>
      </c>
      <c r="K23" s="36" t="s">
        <v>114</v>
      </c>
      <c r="M23" s="56" t="s">
        <v>5</v>
      </c>
      <c r="N23" s="31">
        <v>6451.0</v>
      </c>
    </row>
    <row r="24">
      <c r="A24" s="38" t="s">
        <v>68</v>
      </c>
      <c r="B24" s="28" t="s">
        <v>4</v>
      </c>
      <c r="C24" s="44">
        <v>2.0</v>
      </c>
      <c r="D24" s="32">
        <v>0.01724714903072463</v>
      </c>
      <c r="E24" s="30">
        <v>35825.0</v>
      </c>
      <c r="F24" s="31">
        <v>35625.0</v>
      </c>
      <c r="G24" s="31">
        <v>71650.0</v>
      </c>
      <c r="H24" s="31">
        <v>71250.0</v>
      </c>
      <c r="I24" s="31">
        <v>-400.0</v>
      </c>
      <c r="J24" s="32">
        <v>-0.005582693649685973</v>
      </c>
      <c r="K24" s="36" t="s">
        <v>114</v>
      </c>
      <c r="M24" s="56" t="s">
        <v>6</v>
      </c>
      <c r="N24" s="31">
        <v>-31070.352260000072</v>
      </c>
    </row>
    <row r="25">
      <c r="A25" s="38" t="s">
        <v>69</v>
      </c>
      <c r="B25" s="28" t="s">
        <v>4</v>
      </c>
      <c r="C25" s="44">
        <v>15.0</v>
      </c>
      <c r="D25" s="32">
        <v>0.002450910651734553</v>
      </c>
      <c r="E25" s="30">
        <v>605.0</v>
      </c>
      <c r="F25" s="31">
        <v>675.0</v>
      </c>
      <c r="G25" s="31">
        <v>9075.0</v>
      </c>
      <c r="H25" s="31">
        <v>10125.0</v>
      </c>
      <c r="I25" s="31">
        <v>1050.0</v>
      </c>
      <c r="J25" s="32">
        <v>0.11570247933884298</v>
      </c>
      <c r="K25" s="36" t="s">
        <v>114</v>
      </c>
      <c r="M25" s="61" t="s">
        <v>7</v>
      </c>
      <c r="N25" s="31">
        <v>1097832.29126</v>
      </c>
    </row>
    <row r="26">
      <c r="A26" s="35" t="s">
        <v>70</v>
      </c>
      <c r="B26" s="28" t="s">
        <v>4</v>
      </c>
      <c r="C26" s="44">
        <v>3.0</v>
      </c>
      <c r="D26" s="32">
        <v>0.013797719224579705</v>
      </c>
      <c r="E26" s="30">
        <v>21041.666666666668</v>
      </c>
      <c r="F26" s="31">
        <v>19000.0</v>
      </c>
      <c r="G26" s="31">
        <v>63125.0</v>
      </c>
      <c r="H26" s="31">
        <v>57000.0</v>
      </c>
      <c r="I26" s="31">
        <v>-6125.0</v>
      </c>
      <c r="J26" s="32">
        <v>-0.09702970297029703</v>
      </c>
      <c r="K26" s="36" t="s">
        <v>114</v>
      </c>
      <c r="M26" s="56" t="s">
        <v>8</v>
      </c>
      <c r="N26" s="31">
        <v>160.0</v>
      </c>
    </row>
    <row r="27">
      <c r="A27" s="36" t="s">
        <v>55</v>
      </c>
      <c r="B27" s="28" t="s">
        <v>3</v>
      </c>
      <c r="C27" s="44">
        <v>60.0</v>
      </c>
      <c r="D27" s="32">
        <v>0.012141992917630141</v>
      </c>
      <c r="E27" s="30">
        <v>740.0</v>
      </c>
      <c r="F27" s="30">
        <v>836.0</v>
      </c>
      <c r="G27" s="31">
        <v>44400.0</v>
      </c>
      <c r="H27" s="31">
        <v>50160.0</v>
      </c>
      <c r="I27" s="31">
        <v>5760.0</v>
      </c>
      <c r="J27" s="32">
        <v>0.12972972972972974</v>
      </c>
      <c r="K27" s="36" t="s">
        <v>114</v>
      </c>
    </row>
    <row r="28">
      <c r="A28" s="36" t="s">
        <v>56</v>
      </c>
      <c r="B28" s="28" t="s">
        <v>3</v>
      </c>
      <c r="C28" s="44">
        <v>60.0</v>
      </c>
      <c r="D28" s="32">
        <v>0.012548662536880912</v>
      </c>
      <c r="E28" s="30">
        <v>826.0</v>
      </c>
      <c r="F28" s="30">
        <v>864.0</v>
      </c>
      <c r="G28" s="31">
        <v>49560.0</v>
      </c>
      <c r="H28" s="31">
        <v>51840.0</v>
      </c>
      <c r="I28" s="31">
        <v>2280.0</v>
      </c>
      <c r="J28" s="32">
        <v>0.04600484261501211</v>
      </c>
      <c r="K28" s="36" t="s">
        <v>114</v>
      </c>
    </row>
    <row r="29">
      <c r="A29" s="36" t="s">
        <v>57</v>
      </c>
      <c r="B29" s="28" t="s">
        <v>3</v>
      </c>
      <c r="C29" s="44">
        <v>163.0</v>
      </c>
      <c r="D29" s="32">
        <v>0.031959874898618575</v>
      </c>
      <c r="E29" s="30">
        <v>770.0</v>
      </c>
      <c r="F29" s="30">
        <v>810.0</v>
      </c>
      <c r="G29" s="31">
        <v>125510.0</v>
      </c>
      <c r="H29" s="31">
        <v>132030.0</v>
      </c>
      <c r="I29" s="31">
        <v>6520.0</v>
      </c>
      <c r="J29" s="32">
        <v>0.05194805194805195</v>
      </c>
      <c r="K29" s="36" t="s">
        <v>114</v>
      </c>
    </row>
    <row r="30">
      <c r="A30" s="36" t="s">
        <v>81</v>
      </c>
      <c r="B30" s="28" t="s">
        <v>3</v>
      </c>
      <c r="C30" s="44">
        <v>444714.0</v>
      </c>
      <c r="D30" s="32">
        <v>0.11967967114252247</v>
      </c>
      <c r="E30" s="30">
        <v>1.11175</v>
      </c>
      <c r="F30" s="30">
        <v>1.11175</v>
      </c>
      <c r="G30" s="31">
        <v>494410.7895</v>
      </c>
      <c r="H30" s="31">
        <v>494410.7895</v>
      </c>
      <c r="I30" s="31">
        <v>0.0</v>
      </c>
      <c r="J30" s="32">
        <v>0.0</v>
      </c>
      <c r="K30" s="36" t="s">
        <v>115</v>
      </c>
    </row>
    <row r="31">
      <c r="A31" s="36" t="s">
        <v>80</v>
      </c>
      <c r="B31" s="28" t="s">
        <v>5</v>
      </c>
      <c r="C31" s="44">
        <v>12.0</v>
      </c>
      <c r="D31" s="32">
        <v>0.0033753578397813936</v>
      </c>
      <c r="E31" s="30">
        <v>1169.0</v>
      </c>
      <c r="F31" s="30">
        <v>1162.0</v>
      </c>
      <c r="G31" s="31">
        <v>494410.7895</v>
      </c>
      <c r="H31" s="31">
        <v>494410.7895</v>
      </c>
      <c r="I31" s="31">
        <v>13944.0</v>
      </c>
      <c r="J31" s="32">
        <v>0.0</v>
      </c>
      <c r="K31" s="36" t="s">
        <v>114</v>
      </c>
    </row>
    <row r="32">
      <c r="A32" s="36" t="s">
        <v>71</v>
      </c>
      <c r="B32" s="28" t="s">
        <v>5</v>
      </c>
      <c r="C32" s="44">
        <v>19.0</v>
      </c>
      <c r="D32" s="32">
        <v>0.005726053478200578</v>
      </c>
      <c r="E32" s="30">
        <v>1670.7894736842106</v>
      </c>
      <c r="F32" s="30">
        <v>1245.0</v>
      </c>
      <c r="G32" s="31">
        <v>31745.000000000004</v>
      </c>
      <c r="H32" s="31">
        <v>23655.0</v>
      </c>
      <c r="I32" s="31">
        <v>-8090.000000000004</v>
      </c>
      <c r="J32" s="32">
        <v>-0.2548432824066783</v>
      </c>
      <c r="K32" s="36" t="s">
        <v>114</v>
      </c>
    </row>
    <row r="33">
      <c r="A33" s="41" t="s">
        <v>72</v>
      </c>
      <c r="B33" s="28" t="s">
        <v>6</v>
      </c>
      <c r="C33" s="44">
        <v>10501.993</v>
      </c>
      <c r="D33" s="32">
        <v>0.28772252402878806</v>
      </c>
      <c r="E33" s="30">
        <v>104.14000000000001</v>
      </c>
      <c r="F33" s="30">
        <v>113.18</v>
      </c>
      <c r="G33" s="31">
        <v>1093677.5510200001</v>
      </c>
      <c r="H33" s="31">
        <v>1188615.56774</v>
      </c>
      <c r="I33" s="31">
        <v>94938.01671999996</v>
      </c>
      <c r="J33" s="32">
        <v>0.08680622239293254</v>
      </c>
      <c r="K33" s="36" t="s">
        <v>115</v>
      </c>
    </row>
    <row r="34">
      <c r="A34" s="66" t="s">
        <v>73</v>
      </c>
      <c r="B34" s="28" t="s">
        <v>6</v>
      </c>
      <c r="C34" s="44">
        <v>120.775</v>
      </c>
      <c r="D34" s="32">
        <v>0.028826134487679535</v>
      </c>
      <c r="E34" s="30">
        <v>1067.0</v>
      </c>
      <c r="F34" s="30">
        <v>986.0</v>
      </c>
      <c r="G34" s="31">
        <v>128866.925</v>
      </c>
      <c r="H34" s="31">
        <v>119084.15000000001</v>
      </c>
      <c r="I34" s="31">
        <v>-9782.774999999994</v>
      </c>
      <c r="J34" s="32">
        <v>-0.07591377694470473</v>
      </c>
      <c r="K34" s="36" t="s">
        <v>115</v>
      </c>
    </row>
    <row r="35">
      <c r="A35" s="36" t="s">
        <v>76</v>
      </c>
      <c r="B35" s="28" t="s">
        <v>7</v>
      </c>
      <c r="C35" s="45">
        <v>391711.0</v>
      </c>
      <c r="D35" s="32">
        <v>0.12171994743669685</v>
      </c>
      <c r="E35" s="30">
        <v>1.27</v>
      </c>
      <c r="F35" s="30">
        <v>1.2837</v>
      </c>
      <c r="G35" s="31">
        <v>497472.97000000003</v>
      </c>
      <c r="H35" s="31">
        <v>502839.4107</v>
      </c>
      <c r="I35" s="31">
        <v>5366.440699999977</v>
      </c>
      <c r="J35" s="32">
        <v>0.010787401574803103</v>
      </c>
      <c r="K35" s="36" t="s">
        <v>115</v>
      </c>
    </row>
    <row r="36">
      <c r="A36" s="36" t="s">
        <v>82</v>
      </c>
      <c r="B36" s="28" t="s">
        <v>7</v>
      </c>
      <c r="C36" s="45">
        <v>493143.0</v>
      </c>
      <c r="D36" s="32">
        <v>0.15098508385043613</v>
      </c>
      <c r="E36" s="30">
        <v>1.25</v>
      </c>
      <c r="F36" s="30">
        <v>1.26482</v>
      </c>
      <c r="G36" s="31">
        <v>616428.75</v>
      </c>
      <c r="H36" s="31">
        <v>623737.1292600001</v>
      </c>
      <c r="I36" s="31">
        <v>7308.379260000074</v>
      </c>
      <c r="J36" s="32">
        <v>0.01185600000000012</v>
      </c>
      <c r="K36" s="36" t="s">
        <v>115</v>
      </c>
    </row>
    <row r="37">
      <c r="A37" s="36" t="s">
        <v>77</v>
      </c>
      <c r="B37" s="28" t="s">
        <v>8</v>
      </c>
      <c r="C37" s="67">
        <v>1.0</v>
      </c>
      <c r="D37" s="32">
        <v>0.005364165930117303</v>
      </c>
      <c r="E37" s="30">
        <v>22000.0</v>
      </c>
      <c r="F37" s="30">
        <v>22160.0</v>
      </c>
      <c r="G37" s="31">
        <v>22000.0</v>
      </c>
      <c r="H37" s="31">
        <v>22160.0</v>
      </c>
      <c r="I37" s="31">
        <v>160.0</v>
      </c>
      <c r="J37" s="32">
        <v>0.007272727272727273</v>
      </c>
      <c r="K37" s="36" t="s">
        <v>116</v>
      </c>
    </row>
    <row r="38">
      <c r="A38" s="16"/>
      <c r="B38" s="40"/>
      <c r="C38" s="68"/>
      <c r="D38" s="69"/>
      <c r="E38" s="70"/>
      <c r="F38" s="70"/>
      <c r="G38" s="71"/>
      <c r="H38" s="71"/>
      <c r="I38" s="71"/>
      <c r="J38" s="69"/>
      <c r="K38" s="16"/>
    </row>
    <row r="39">
      <c r="A39" s="16"/>
      <c r="B39" s="40"/>
      <c r="C39" s="68"/>
      <c r="D39" s="69"/>
      <c r="E39" s="70"/>
      <c r="F39" s="70"/>
      <c r="G39" s="71"/>
      <c r="H39" s="71"/>
      <c r="I39" s="71"/>
      <c r="J39" s="69"/>
      <c r="K39" s="16"/>
    </row>
  </sheetData>
  <mergeCells count="1">
    <mergeCell ref="M18:N18"/>
  </mergeCells>
  <conditionalFormatting sqref="C2:D2 I5:J994 N19:N26">
    <cfRule type="cellIs" dxfId="0" priority="1" operator="greaterThan">
      <formula>0</formula>
    </cfRule>
  </conditionalFormatting>
  <conditionalFormatting sqref="I5:J994 N19:N26">
    <cfRule type="cellIs" dxfId="1" priority="2" operator="lessThan">
      <formula>0</formula>
    </cfRule>
  </conditionalFormatting>
  <conditionalFormatting sqref="I5:J994 N19:N26">
    <cfRule type="cellIs" dxfId="3" priority="3" operator="equal">
      <formula>0</formula>
    </cfRule>
  </conditionalFormatting>
  <conditionalFormatting sqref="C2:C35 C37:C994">
    <cfRule type="cellIs" dxfId="2" priority="4" operator="equal">
      <formula>0</formula>
    </cfRule>
  </conditionalFormatting>
  <dataValidations>
    <dataValidation type="list" allowBlank="1" showErrorMessage="1" sqref="K5:K39">
      <formula1>"Eco,Ppi,Binance"</formula1>
    </dataValidation>
    <dataValidation type="list" allowBlank="1" sqref="B5:B26">
      <formula1>"Acciones,Cedear,Opciones,Opc Negociables,Bonos,FCI,FCI/Jardin,FCI/Cobertura,Letras"</formula1>
    </dataValidation>
    <dataValidation type="list" allowBlank="1" sqref="B27:B39">
      <formula1>"Acciones,Cedear,Opc/Futuros,ON,Bonos,FCI,Letras,Cripto"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6.25"/>
    <col customWidth="1" min="4" max="4" width="13.75"/>
    <col customWidth="1" min="5" max="5" width="20.0"/>
    <col customWidth="1" min="6" max="6" width="20.63"/>
    <col customWidth="1" min="7" max="7" width="18.25"/>
    <col customWidth="1" min="8" max="8" width="14.75"/>
    <col customWidth="1" min="9" max="9" width="15.25"/>
    <col customWidth="1" min="10" max="10" width="16.25"/>
    <col customWidth="1" min="13" max="13" width="14.5"/>
  </cols>
  <sheetData>
    <row r="1">
      <c r="A1" s="54" t="s">
        <v>101</v>
      </c>
      <c r="C1" s="55" t="s">
        <v>40</v>
      </c>
      <c r="D1" s="55" t="s">
        <v>41</v>
      </c>
      <c r="E1" s="55" t="s">
        <v>102</v>
      </c>
      <c r="F1" s="55" t="s">
        <v>103</v>
      </c>
      <c r="G1" s="26" t="s">
        <v>9</v>
      </c>
      <c r="H1" s="55" t="s">
        <v>104</v>
      </c>
      <c r="I1" s="55" t="s">
        <v>105</v>
      </c>
      <c r="M1" s="56" t="s">
        <v>1</v>
      </c>
      <c r="N1" s="9">
        <v>0.0</v>
      </c>
    </row>
    <row r="2">
      <c r="C2" s="57">
        <v>41498.549679999924</v>
      </c>
      <c r="D2" s="32">
        <v>0.01610311998135039</v>
      </c>
      <c r="E2" s="31">
        <v>2577050.26902</v>
      </c>
      <c r="F2" s="57">
        <v>2618548.8187</v>
      </c>
      <c r="G2" s="57">
        <v>161005.18159999972</v>
      </c>
      <c r="H2" s="57">
        <v>2738055.45062</v>
      </c>
      <c r="I2" s="57">
        <v>2779554.0003</v>
      </c>
      <c r="M2" s="58" t="s">
        <v>2</v>
      </c>
      <c r="N2" s="9">
        <v>478288.5</v>
      </c>
    </row>
    <row r="3">
      <c r="J3" s="59"/>
      <c r="M3" s="56" t="s">
        <v>3</v>
      </c>
      <c r="N3" s="9">
        <v>225608.0</v>
      </c>
    </row>
    <row r="4">
      <c r="A4" s="26" t="s">
        <v>32</v>
      </c>
      <c r="B4" s="26" t="s">
        <v>34</v>
      </c>
      <c r="C4" s="26" t="s">
        <v>106</v>
      </c>
      <c r="D4" s="26" t="s">
        <v>107</v>
      </c>
      <c r="E4" s="26" t="s">
        <v>108</v>
      </c>
      <c r="F4" s="26" t="s">
        <v>109</v>
      </c>
      <c r="G4" s="26" t="s">
        <v>110</v>
      </c>
      <c r="H4" s="26" t="s">
        <v>111</v>
      </c>
      <c r="I4" s="26" t="s">
        <v>40</v>
      </c>
      <c r="J4" s="26" t="s">
        <v>41</v>
      </c>
      <c r="K4" s="26" t="s">
        <v>112</v>
      </c>
      <c r="L4" s="27"/>
      <c r="M4" s="58" t="s">
        <v>4</v>
      </c>
      <c r="N4" s="9">
        <v>493990.0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9" t="s">
        <v>44</v>
      </c>
      <c r="B5" s="28" t="s">
        <v>2</v>
      </c>
      <c r="C5" s="44">
        <v>15.0</v>
      </c>
      <c r="D5" s="32">
        <v>0.0046399745970869335</v>
      </c>
      <c r="E5" s="30">
        <v>984.0</v>
      </c>
      <c r="F5" s="31">
        <v>810.0</v>
      </c>
      <c r="G5" s="31">
        <v>14760.0</v>
      </c>
      <c r="H5" s="31">
        <v>12150.0</v>
      </c>
      <c r="I5" s="31">
        <v>-2610.0</v>
      </c>
      <c r="J5" s="32">
        <v>-0.17682926829268292</v>
      </c>
      <c r="K5" s="36" t="s">
        <v>114</v>
      </c>
      <c r="M5" s="56" t="s">
        <v>5</v>
      </c>
      <c r="N5" s="9">
        <v>31148.0</v>
      </c>
    </row>
    <row r="6">
      <c r="A6" s="33" t="s">
        <v>46</v>
      </c>
      <c r="B6" s="28" t="s">
        <v>2</v>
      </c>
      <c r="C6" s="44">
        <v>30.0</v>
      </c>
      <c r="D6" s="32">
        <v>0.0052586378766985254</v>
      </c>
      <c r="E6" s="30">
        <v>371.26666666666665</v>
      </c>
      <c r="F6" s="31">
        <v>459.0</v>
      </c>
      <c r="G6" s="31">
        <v>11138.0</v>
      </c>
      <c r="H6" s="31">
        <v>13770.0</v>
      </c>
      <c r="I6" s="31">
        <v>2632.0</v>
      </c>
      <c r="J6" s="32">
        <v>0.2363081343149578</v>
      </c>
      <c r="K6" s="36" t="s">
        <v>114</v>
      </c>
      <c r="M6" s="56" t="s">
        <v>6</v>
      </c>
      <c r="N6" s="9">
        <v>1338770.07</v>
      </c>
    </row>
    <row r="7">
      <c r="A7" s="33" t="s">
        <v>47</v>
      </c>
      <c r="B7" s="28" t="s">
        <v>2</v>
      </c>
      <c r="C7" s="44">
        <v>20.0</v>
      </c>
      <c r="D7" s="32">
        <v>0.012602400140236118</v>
      </c>
      <c r="E7" s="30">
        <v>1740.0</v>
      </c>
      <c r="F7" s="31">
        <v>1650.0</v>
      </c>
      <c r="G7" s="31">
        <v>34800.0</v>
      </c>
      <c r="H7" s="31">
        <v>33000.0</v>
      </c>
      <c r="I7" s="31">
        <v>-1800.0</v>
      </c>
      <c r="J7" s="32">
        <v>-0.05172413793103448</v>
      </c>
      <c r="K7" s="36" t="s">
        <v>114</v>
      </c>
      <c r="M7" s="61" t="s">
        <v>7</v>
      </c>
      <c r="N7" s="9">
        <v>28744.2487</v>
      </c>
    </row>
    <row r="8">
      <c r="A8" s="33" t="s">
        <v>48</v>
      </c>
      <c r="B8" s="28" t="s">
        <v>2</v>
      </c>
      <c r="C8" s="44">
        <v>46.0</v>
      </c>
      <c r="D8" s="32">
        <v>0.003842777315488664</v>
      </c>
      <c r="E8" s="30">
        <v>232.2336956521739</v>
      </c>
      <c r="F8" s="31">
        <v>218.75</v>
      </c>
      <c r="G8" s="31">
        <v>10682.75</v>
      </c>
      <c r="H8" s="31">
        <v>10062.5</v>
      </c>
      <c r="I8" s="31">
        <v>-620.25</v>
      </c>
      <c r="J8" s="32">
        <v>-0.058060892560436214</v>
      </c>
      <c r="K8" s="36" t="s">
        <v>114</v>
      </c>
      <c r="M8" s="61" t="s">
        <v>8</v>
      </c>
      <c r="N8" s="9">
        <v>22000.0</v>
      </c>
    </row>
    <row r="9">
      <c r="A9" s="33" t="s">
        <v>49</v>
      </c>
      <c r="B9" s="28" t="s">
        <v>2</v>
      </c>
      <c r="C9" s="44">
        <v>25.0</v>
      </c>
      <c r="D9" s="32">
        <v>0.015275636533619536</v>
      </c>
      <c r="E9" s="30">
        <v>1270.6</v>
      </c>
      <c r="F9" s="31">
        <v>1600.0</v>
      </c>
      <c r="G9" s="31">
        <v>31764.999999999996</v>
      </c>
      <c r="H9" s="31">
        <v>40000.0</v>
      </c>
      <c r="I9" s="31">
        <v>8235.000000000004</v>
      </c>
      <c r="J9" s="32">
        <v>0.25924759955926346</v>
      </c>
      <c r="K9" s="36" t="s">
        <v>114</v>
      </c>
      <c r="M9" s="62" t="s">
        <v>9</v>
      </c>
      <c r="N9" s="9">
        <v>50856.87</v>
      </c>
    </row>
    <row r="10">
      <c r="A10" s="33" t="s">
        <v>50</v>
      </c>
      <c r="B10" s="28" t="s">
        <v>2</v>
      </c>
      <c r="C10" s="44">
        <v>100.0</v>
      </c>
      <c r="D10" s="32">
        <v>0.011456727400214651</v>
      </c>
      <c r="E10" s="30">
        <v>394.0</v>
      </c>
      <c r="F10" s="31">
        <v>300.0</v>
      </c>
      <c r="G10" s="31">
        <v>39400.0</v>
      </c>
      <c r="H10" s="31">
        <v>30000.0</v>
      </c>
      <c r="I10" s="31">
        <v>-9400.0</v>
      </c>
      <c r="J10" s="32">
        <v>-0.23857868020304568</v>
      </c>
      <c r="K10" s="36" t="s">
        <v>114</v>
      </c>
      <c r="M10" s="64" t="s">
        <v>10</v>
      </c>
      <c r="N10" s="65">
        <v>2669405.6887000003</v>
      </c>
    </row>
    <row r="11">
      <c r="A11" s="33" t="s">
        <v>51</v>
      </c>
      <c r="B11" s="28" t="s">
        <v>2</v>
      </c>
      <c r="C11" s="44">
        <v>20.0</v>
      </c>
      <c r="D11" s="32">
        <v>0.029749302149224045</v>
      </c>
      <c r="E11" s="30">
        <v>4200.0</v>
      </c>
      <c r="F11" s="31">
        <v>3895.0</v>
      </c>
      <c r="G11" s="31">
        <v>84000.0</v>
      </c>
      <c r="H11" s="31">
        <v>77900.0</v>
      </c>
      <c r="I11" s="31">
        <v>-6100.0</v>
      </c>
      <c r="J11" s="32">
        <v>-0.07261904761904762</v>
      </c>
      <c r="K11" s="36" t="s">
        <v>114</v>
      </c>
    </row>
    <row r="12">
      <c r="A12" s="33" t="s">
        <v>52</v>
      </c>
      <c r="B12" s="28" t="s">
        <v>2</v>
      </c>
      <c r="C12" s="44">
        <v>7660.0</v>
      </c>
      <c r="D12" s="32">
        <v>0.09273151535916407</v>
      </c>
      <c r="E12" s="30">
        <v>40.0</v>
      </c>
      <c r="F12" s="31">
        <v>31.7</v>
      </c>
      <c r="G12" s="31">
        <v>306400.0</v>
      </c>
      <c r="H12" s="31">
        <v>242822.0</v>
      </c>
      <c r="I12" s="31">
        <v>-63578.0</v>
      </c>
      <c r="J12" s="32">
        <v>-0.2075</v>
      </c>
      <c r="K12" s="36" t="s">
        <v>114</v>
      </c>
      <c r="M12" s="61" t="s">
        <v>114</v>
      </c>
      <c r="N12" s="9">
        <v>1332505.793</v>
      </c>
    </row>
    <row r="13">
      <c r="A13" s="38" t="s">
        <v>54</v>
      </c>
      <c r="B13" s="28" t="s">
        <v>2</v>
      </c>
      <c r="C13" s="44">
        <v>23.0</v>
      </c>
      <c r="D13" s="32">
        <v>0.007097060733519636</v>
      </c>
      <c r="E13" s="30">
        <v>963.0</v>
      </c>
      <c r="F13" s="31">
        <v>808.0</v>
      </c>
      <c r="G13" s="31">
        <v>22149.0</v>
      </c>
      <c r="H13" s="31">
        <v>18584.0</v>
      </c>
      <c r="I13" s="31">
        <v>-3565.0</v>
      </c>
      <c r="J13" s="32">
        <v>-0.16095534787123572</v>
      </c>
      <c r="K13" s="36" t="s">
        <v>114</v>
      </c>
      <c r="M13" s="61" t="s">
        <v>116</v>
      </c>
      <c r="N13" s="9">
        <v>22000.0</v>
      </c>
    </row>
    <row r="14">
      <c r="A14" s="38" t="s">
        <v>58</v>
      </c>
      <c r="B14" s="28" t="s">
        <v>4</v>
      </c>
      <c r="C14" s="44">
        <v>45.0</v>
      </c>
      <c r="D14" s="32">
        <v>0.03290944945711659</v>
      </c>
      <c r="E14" s="30">
        <v>1895.0</v>
      </c>
      <c r="F14" s="31">
        <v>1915.0</v>
      </c>
      <c r="G14" s="31">
        <v>85275.0</v>
      </c>
      <c r="H14" s="31">
        <v>86175.0</v>
      </c>
      <c r="I14" s="31">
        <v>900.0</v>
      </c>
      <c r="J14" s="32">
        <v>0.010554089709762533</v>
      </c>
      <c r="K14" s="36" t="s">
        <v>114</v>
      </c>
      <c r="M14" s="64" t="s">
        <v>9</v>
      </c>
      <c r="N14" s="9">
        <v>50856.87</v>
      </c>
    </row>
    <row r="15">
      <c r="A15" s="35" t="s">
        <v>59</v>
      </c>
      <c r="B15" s="28" t="s">
        <v>4</v>
      </c>
      <c r="C15" s="44">
        <v>1.0</v>
      </c>
      <c r="D15" s="32">
        <v>0.005308283695432788</v>
      </c>
      <c r="E15" s="30">
        <v>11400.0</v>
      </c>
      <c r="F15" s="31">
        <v>13900.0</v>
      </c>
      <c r="G15" s="31">
        <v>11400.0</v>
      </c>
      <c r="H15" s="31">
        <v>13900.0</v>
      </c>
      <c r="I15" s="31">
        <v>2500.0</v>
      </c>
      <c r="J15" s="32">
        <v>0.21929824561403508</v>
      </c>
      <c r="K15" s="36" t="s">
        <v>114</v>
      </c>
      <c r="M15" s="64" t="s">
        <v>10</v>
      </c>
      <c r="N15" s="65">
        <v>2627907.1390200006</v>
      </c>
    </row>
    <row r="16">
      <c r="A16" s="35" t="s">
        <v>60</v>
      </c>
      <c r="B16" s="28" t="s">
        <v>4</v>
      </c>
      <c r="C16" s="44">
        <v>5.0</v>
      </c>
      <c r="D16" s="32">
        <v>0.014110869247931045</v>
      </c>
      <c r="E16" s="30">
        <v>7400.0</v>
      </c>
      <c r="F16" s="30">
        <v>7390.0</v>
      </c>
      <c r="G16" s="31">
        <v>37000.0</v>
      </c>
      <c r="H16" s="31">
        <v>36950.0</v>
      </c>
      <c r="I16" s="31">
        <v>-50.0</v>
      </c>
      <c r="J16" s="32">
        <v>-0.0013513513513513514</v>
      </c>
      <c r="K16" s="36" t="s">
        <v>114</v>
      </c>
    </row>
    <row r="17">
      <c r="A17" s="35" t="s">
        <v>61</v>
      </c>
      <c r="B17" s="28" t="s">
        <v>4</v>
      </c>
      <c r="C17" s="44">
        <v>5.0</v>
      </c>
      <c r="D17" s="32">
        <v>0.009299043739840892</v>
      </c>
      <c r="E17" s="30">
        <v>5970.0</v>
      </c>
      <c r="F17" s="31">
        <v>4870.0</v>
      </c>
      <c r="G17" s="31">
        <v>29850.0</v>
      </c>
      <c r="H17" s="31">
        <v>24350.0</v>
      </c>
      <c r="I17" s="31">
        <v>-5500.0</v>
      </c>
      <c r="J17" s="32">
        <v>-0.18425460636515914</v>
      </c>
      <c r="K17" s="36" t="s">
        <v>114</v>
      </c>
    </row>
    <row r="18">
      <c r="A18" s="38" t="s">
        <v>62</v>
      </c>
      <c r="B18" s="28" t="s">
        <v>4</v>
      </c>
      <c r="C18" s="44">
        <v>25.0</v>
      </c>
      <c r="D18" s="32">
        <v>0.03637510949568152</v>
      </c>
      <c r="E18" s="30">
        <v>3995.0</v>
      </c>
      <c r="F18" s="31">
        <v>3810.0</v>
      </c>
      <c r="G18" s="31">
        <v>99875.0</v>
      </c>
      <c r="H18" s="31">
        <v>95250.0</v>
      </c>
      <c r="I18" s="31">
        <v>-4625.0</v>
      </c>
      <c r="J18" s="32">
        <v>-0.04630788485607009</v>
      </c>
      <c r="K18" s="36" t="s">
        <v>114</v>
      </c>
    </row>
    <row r="19">
      <c r="A19" s="37" t="s">
        <v>63</v>
      </c>
      <c r="B19" s="28" t="s">
        <v>4</v>
      </c>
      <c r="C19" s="44">
        <v>1.0</v>
      </c>
      <c r="D19" s="32">
        <v>0.0077332909951448895</v>
      </c>
      <c r="E19" s="30">
        <v>17850.0</v>
      </c>
      <c r="F19" s="31">
        <v>20250.0</v>
      </c>
      <c r="G19" s="31">
        <v>17850.0</v>
      </c>
      <c r="H19" s="31">
        <v>20250.0</v>
      </c>
      <c r="I19" s="31">
        <v>2400.0</v>
      </c>
      <c r="J19" s="32">
        <v>0.13445378151260504</v>
      </c>
      <c r="K19" s="36" t="s">
        <v>114</v>
      </c>
    </row>
    <row r="20">
      <c r="A20" s="39" t="s">
        <v>64</v>
      </c>
      <c r="B20" s="28" t="s">
        <v>4</v>
      </c>
      <c r="C20" s="44">
        <v>1.0</v>
      </c>
      <c r="D20" s="32">
        <v>0.005862025519776497</v>
      </c>
      <c r="E20" s="30">
        <v>15000.0</v>
      </c>
      <c r="F20" s="31">
        <v>15350.0</v>
      </c>
      <c r="G20" s="31">
        <v>15000.0</v>
      </c>
      <c r="H20" s="31">
        <v>15350.0</v>
      </c>
      <c r="I20" s="31">
        <v>350.0</v>
      </c>
      <c r="J20" s="32">
        <v>0.023333333333333334</v>
      </c>
      <c r="K20" s="36" t="s">
        <v>114</v>
      </c>
    </row>
    <row r="21">
      <c r="A21" s="37" t="s">
        <v>65</v>
      </c>
      <c r="B21" s="28" t="s">
        <v>4</v>
      </c>
      <c r="C21" s="44">
        <v>9.0</v>
      </c>
      <c r="D21" s="32">
        <v>0.012527931412134721</v>
      </c>
      <c r="E21" s="30">
        <v>3655.0</v>
      </c>
      <c r="F21" s="31">
        <v>3645.0</v>
      </c>
      <c r="G21" s="31">
        <v>32895.0</v>
      </c>
      <c r="H21" s="31">
        <v>32805.0</v>
      </c>
      <c r="I21" s="31">
        <v>-90.0</v>
      </c>
      <c r="J21" s="32">
        <v>-0.0027359781121751026</v>
      </c>
      <c r="K21" s="36" t="s">
        <v>114</v>
      </c>
    </row>
    <row r="22">
      <c r="A22" s="39" t="s">
        <v>66</v>
      </c>
      <c r="B22" s="28" t="s">
        <v>4</v>
      </c>
      <c r="C22" s="44">
        <v>1.0</v>
      </c>
      <c r="D22" s="32">
        <v>0.006272558251617522</v>
      </c>
      <c r="E22" s="30">
        <v>17775.0</v>
      </c>
      <c r="F22" s="31">
        <v>16425.0</v>
      </c>
      <c r="G22" s="31">
        <v>17775.0</v>
      </c>
      <c r="H22" s="31">
        <v>16425.0</v>
      </c>
      <c r="I22" s="31">
        <v>-1350.0</v>
      </c>
      <c r="J22" s="32">
        <v>-0.0759493670886076</v>
      </c>
      <c r="K22" s="36" t="s">
        <v>114</v>
      </c>
    </row>
    <row r="23">
      <c r="A23" s="35" t="s">
        <v>67</v>
      </c>
      <c r="B23" s="28" t="s">
        <v>4</v>
      </c>
      <c r="C23" s="44">
        <v>1.0</v>
      </c>
      <c r="D23" s="32">
        <v>0.0029443789418551656</v>
      </c>
      <c r="E23" s="30">
        <v>7790.0</v>
      </c>
      <c r="F23" s="31">
        <v>7710.0</v>
      </c>
      <c r="G23" s="31">
        <v>7790.0</v>
      </c>
      <c r="H23" s="31">
        <v>7710.0</v>
      </c>
      <c r="I23" s="31">
        <v>-80.0</v>
      </c>
      <c r="J23" s="32">
        <v>-0.010269576379974325</v>
      </c>
      <c r="K23" s="36" t="s">
        <v>114</v>
      </c>
    </row>
    <row r="24">
      <c r="A24" s="38" t="s">
        <v>68</v>
      </c>
      <c r="B24" s="28" t="s">
        <v>4</v>
      </c>
      <c r="C24" s="44">
        <v>2.0</v>
      </c>
      <c r="D24" s="32">
        <v>0.02761071303451731</v>
      </c>
      <c r="E24" s="30">
        <v>35825.0</v>
      </c>
      <c r="F24" s="31">
        <v>36150.0</v>
      </c>
      <c r="G24" s="31">
        <v>71650.0</v>
      </c>
      <c r="H24" s="31">
        <v>72300.0</v>
      </c>
      <c r="I24" s="31">
        <v>650.0</v>
      </c>
      <c r="J24" s="32">
        <v>0.009071877180739707</v>
      </c>
      <c r="K24" s="36" t="s">
        <v>114</v>
      </c>
    </row>
    <row r="25">
      <c r="A25" s="38" t="s">
        <v>69</v>
      </c>
      <c r="B25" s="28" t="s">
        <v>4</v>
      </c>
      <c r="C25" s="44">
        <v>15.0</v>
      </c>
      <c r="D25" s="32">
        <v>0.0035802273125670786</v>
      </c>
      <c r="E25" s="30">
        <v>605.0</v>
      </c>
      <c r="F25" s="31">
        <v>625.0</v>
      </c>
      <c r="G25" s="31">
        <v>9075.0</v>
      </c>
      <c r="H25" s="31">
        <v>9375.0</v>
      </c>
      <c r="I25" s="31">
        <v>300.0</v>
      </c>
      <c r="J25" s="32">
        <v>0.03305785123966942</v>
      </c>
      <c r="K25" s="36" t="s">
        <v>114</v>
      </c>
    </row>
    <row r="26">
      <c r="A26" s="35" t="s">
        <v>70</v>
      </c>
      <c r="B26" s="28" t="s">
        <v>4</v>
      </c>
      <c r="C26" s="44">
        <v>3.0</v>
      </c>
      <c r="D26" s="32">
        <v>0.024116411177451842</v>
      </c>
      <c r="E26" s="30">
        <v>21041.666666666668</v>
      </c>
      <c r="F26" s="31">
        <v>21050.0</v>
      </c>
      <c r="G26" s="31">
        <v>63125.0</v>
      </c>
      <c r="H26" s="31">
        <v>63150.0</v>
      </c>
      <c r="I26" s="31">
        <v>25.0</v>
      </c>
      <c r="J26" s="32">
        <v>3.9603960396039607E-4</v>
      </c>
      <c r="K26" s="36" t="s">
        <v>114</v>
      </c>
    </row>
    <row r="27">
      <c r="A27" s="36" t="s">
        <v>55</v>
      </c>
      <c r="B27" s="28" t="s">
        <v>3</v>
      </c>
      <c r="C27" s="44">
        <v>60.0</v>
      </c>
      <c r="D27" s="32">
        <v>0.018834859845952887</v>
      </c>
      <c r="E27" s="30">
        <v>740.0</v>
      </c>
      <c r="F27" s="30">
        <v>822.0</v>
      </c>
      <c r="G27" s="31">
        <v>44400.0</v>
      </c>
      <c r="H27" s="31">
        <v>49320.0</v>
      </c>
      <c r="I27" s="31">
        <v>4920.0</v>
      </c>
      <c r="J27" s="32">
        <v>0.11081081081081082</v>
      </c>
      <c r="K27" s="36" t="s">
        <v>114</v>
      </c>
    </row>
    <row r="28">
      <c r="A28" s="36" t="s">
        <v>56</v>
      </c>
      <c r="B28" s="28" t="s">
        <v>3</v>
      </c>
      <c r="C28" s="44">
        <v>60.0</v>
      </c>
      <c r="D28" s="32">
        <v>0.01901816748435632</v>
      </c>
      <c r="E28" s="30">
        <v>826.0</v>
      </c>
      <c r="F28" s="30">
        <v>830.0</v>
      </c>
      <c r="G28" s="31">
        <v>49560.0</v>
      </c>
      <c r="H28" s="31">
        <v>49800.0</v>
      </c>
      <c r="I28" s="31">
        <v>240.0</v>
      </c>
      <c r="J28" s="32">
        <v>0.004842615012106538</v>
      </c>
      <c r="K28" s="36" t="s">
        <v>114</v>
      </c>
    </row>
    <row r="29">
      <c r="A29" s="36" t="s">
        <v>57</v>
      </c>
      <c r="B29" s="28" t="s">
        <v>3</v>
      </c>
      <c r="C29" s="44">
        <v>163.0</v>
      </c>
      <c r="D29" s="32">
        <v>0.04830461784661169</v>
      </c>
      <c r="E29" s="30">
        <v>770.0</v>
      </c>
      <c r="F29" s="30">
        <v>776.0</v>
      </c>
      <c r="G29" s="31">
        <v>125510.0</v>
      </c>
      <c r="H29" s="31">
        <v>126488.0</v>
      </c>
      <c r="I29" s="31">
        <v>978.0</v>
      </c>
      <c r="J29" s="32">
        <v>0.007792207792207792</v>
      </c>
      <c r="K29" s="36" t="s">
        <v>114</v>
      </c>
    </row>
    <row r="30">
      <c r="A30" s="36" t="s">
        <v>71</v>
      </c>
      <c r="B30" s="28" t="s">
        <v>5</v>
      </c>
      <c r="C30" s="44">
        <v>26.0</v>
      </c>
      <c r="D30" s="32">
        <v>0.011895138168729532</v>
      </c>
      <c r="E30" s="30">
        <v>1220.9615384615386</v>
      </c>
      <c r="F30" s="30">
        <v>1198.0</v>
      </c>
      <c r="G30" s="31">
        <v>31745.000000000004</v>
      </c>
      <c r="H30" s="31">
        <v>31148.0</v>
      </c>
      <c r="I30" s="31">
        <v>-597.0000000000036</v>
      </c>
      <c r="J30" s="32">
        <v>-0.018806111198614067</v>
      </c>
      <c r="K30" s="36" t="s">
        <v>114</v>
      </c>
    </row>
    <row r="31">
      <c r="A31" s="41" t="s">
        <v>72</v>
      </c>
      <c r="B31" s="28" t="s">
        <v>6</v>
      </c>
      <c r="C31" s="44">
        <v>10501.993</v>
      </c>
      <c r="D31" s="32">
        <v>0.4612208053465228</v>
      </c>
      <c r="E31" s="30">
        <v>104.14000000000001</v>
      </c>
      <c r="F31" s="30">
        <v>115.0</v>
      </c>
      <c r="G31" s="31">
        <v>1093677.5510200001</v>
      </c>
      <c r="H31" s="31">
        <v>1207729.195</v>
      </c>
      <c r="I31" s="31">
        <v>114051.64397999994</v>
      </c>
      <c r="J31" s="32">
        <v>0.10428269637027071</v>
      </c>
      <c r="K31" s="36" t="s">
        <v>115</v>
      </c>
    </row>
    <row r="32">
      <c r="A32" s="66" t="s">
        <v>73</v>
      </c>
      <c r="B32" s="28" t="s">
        <v>6</v>
      </c>
      <c r="C32" s="44">
        <v>120.775</v>
      </c>
      <c r="D32" s="32">
        <v>0.05004331943868677</v>
      </c>
      <c r="E32" s="30">
        <v>1067.0</v>
      </c>
      <c r="F32" s="30">
        <v>1085.0</v>
      </c>
      <c r="G32" s="31">
        <v>128866.925</v>
      </c>
      <c r="H32" s="31">
        <v>131040.875</v>
      </c>
      <c r="I32" s="31">
        <v>2173.949999999997</v>
      </c>
      <c r="J32" s="32">
        <v>0.016869728209934372</v>
      </c>
      <c r="K32" s="36" t="s">
        <v>115</v>
      </c>
    </row>
    <row r="33">
      <c r="A33" s="36" t="s">
        <v>75</v>
      </c>
      <c r="B33" s="28" t="s">
        <v>7</v>
      </c>
      <c r="C33" s="44">
        <v>23789.0</v>
      </c>
      <c r="D33" s="32">
        <v>0.010977167389329147</v>
      </c>
      <c r="E33" s="30">
        <v>1.1617152045062846</v>
      </c>
      <c r="F33" s="30">
        <v>1.2083</v>
      </c>
      <c r="G33" s="31">
        <v>27636.043000000005</v>
      </c>
      <c r="H33" s="31">
        <v>28744.2487</v>
      </c>
      <c r="I33" s="31">
        <v>1108.205699999995</v>
      </c>
      <c r="J33" s="32">
        <v>0.04010001359456543</v>
      </c>
      <c r="K33" s="36" t="s">
        <v>114</v>
      </c>
    </row>
    <row r="34">
      <c r="A34" s="36" t="s">
        <v>77</v>
      </c>
      <c r="B34" s="28" t="s">
        <v>8</v>
      </c>
      <c r="C34" s="67">
        <v>1.0</v>
      </c>
      <c r="D34" s="32">
        <v>0.008401600093490745</v>
      </c>
      <c r="E34" s="30">
        <v>22000.0</v>
      </c>
      <c r="F34" s="30">
        <v>22000.0</v>
      </c>
      <c r="G34" s="31">
        <v>22000.0</v>
      </c>
      <c r="H34" s="31">
        <v>22000.0</v>
      </c>
      <c r="I34" s="31">
        <v>0.0</v>
      </c>
      <c r="J34" s="32">
        <v>0.0</v>
      </c>
      <c r="K34" s="36" t="s">
        <v>116</v>
      </c>
    </row>
    <row r="35">
      <c r="A35" s="16"/>
      <c r="B35" s="40"/>
      <c r="C35" s="68"/>
      <c r="D35" s="69"/>
      <c r="E35" s="70"/>
      <c r="F35" s="70"/>
      <c r="G35" s="71"/>
      <c r="H35" s="71"/>
      <c r="I35" s="71"/>
      <c r="J35" s="69"/>
      <c r="K35" s="16"/>
    </row>
    <row r="36">
      <c r="A36" s="16"/>
      <c r="B36" s="40"/>
      <c r="C36" s="68"/>
      <c r="D36" s="69"/>
      <c r="E36" s="70"/>
      <c r="F36" s="70"/>
      <c r="G36" s="71"/>
      <c r="H36" s="71"/>
      <c r="I36" s="71"/>
      <c r="J36" s="69"/>
      <c r="K36" s="16"/>
    </row>
  </sheetData>
  <conditionalFormatting sqref="C2:D2 I5:J990">
    <cfRule type="cellIs" dxfId="0" priority="1" operator="greaterThan">
      <formula>0</formula>
    </cfRule>
  </conditionalFormatting>
  <conditionalFormatting sqref="I5:J990">
    <cfRule type="cellIs" dxfId="1" priority="2" operator="lessThan">
      <formula>0</formula>
    </cfRule>
  </conditionalFormatting>
  <conditionalFormatting sqref="I5:J990">
    <cfRule type="cellIs" dxfId="3" priority="3" operator="equal">
      <formula>0</formula>
    </cfRule>
  </conditionalFormatting>
  <conditionalFormatting sqref="C2:C990">
    <cfRule type="cellIs" dxfId="2" priority="4" operator="equal">
      <formula>0</formula>
    </cfRule>
  </conditionalFormatting>
  <dataValidations>
    <dataValidation type="list" allowBlank="1" showErrorMessage="1" sqref="K5:K36">
      <formula1>"Eco,Ppi,Binance"</formula1>
    </dataValidation>
    <dataValidation type="list" allowBlank="1" sqref="B5:B26">
      <formula1>"Acciones,Cedear,Opciones,Opc Negociables,Bonos,FCI,FCI/Jardin,FCI/Cobertura,Letras"</formula1>
    </dataValidation>
    <dataValidation type="list" allowBlank="1" sqref="B27:B36">
      <formula1>"Acciones,Cedear,Opc/Futuros,ON,Bonos,FCI,Letras,Cripto"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9.25"/>
    <col customWidth="1" min="4" max="4" width="8.38"/>
    <col customWidth="1" min="5" max="5" width="9.38"/>
    <col customWidth="1" min="6" max="6" width="8.38"/>
    <col customWidth="1" min="7" max="9" width="9.38"/>
    <col customWidth="1" min="10" max="10" width="8.38"/>
    <col customWidth="1" min="16" max="17" width="10.38"/>
    <col customWidth="1" min="18" max="18" width="9.0"/>
    <col customWidth="1" min="19" max="20" width="7.25"/>
    <col customWidth="1" min="21" max="21" width="7.13"/>
    <col customWidth="1" min="22" max="22" width="7.5"/>
    <col customWidth="1" min="23" max="23" width="6.75"/>
    <col customWidth="1" min="24" max="24" width="6.63"/>
    <col customWidth="1" min="25" max="28" width="10.13"/>
    <col customWidth="1" min="29" max="29" width="16.13"/>
    <col customWidth="1" min="30" max="30" width="10.13"/>
    <col customWidth="1" min="31" max="32" width="10.38"/>
    <col customWidth="1" min="33" max="33" width="10.75"/>
    <col customWidth="1" min="34" max="34" width="16.0"/>
    <col customWidth="1" min="35" max="35" width="15.5"/>
    <col customWidth="1" min="36" max="36" width="17.5"/>
    <col customWidth="1" min="37" max="37" width="15.5"/>
    <col customWidth="1" min="38" max="38" width="14.38"/>
    <col customWidth="1" min="39" max="39" width="5.13"/>
    <col customWidth="1" min="40" max="40" width="8.13"/>
    <col customWidth="1" min="41" max="41" width="8.38"/>
    <col customWidth="1" min="42" max="44" width="7.25"/>
  </cols>
  <sheetData>
    <row r="1">
      <c r="A1" s="75" t="s">
        <v>0</v>
      </c>
      <c r="B1" s="76" t="s">
        <v>44</v>
      </c>
      <c r="C1" s="76" t="s">
        <v>124</v>
      </c>
      <c r="D1" s="76" t="s">
        <v>125</v>
      </c>
      <c r="E1" s="76" t="s">
        <v>52</v>
      </c>
      <c r="F1" s="76" t="s">
        <v>126</v>
      </c>
      <c r="G1" s="76" t="s">
        <v>51</v>
      </c>
      <c r="H1" s="76" t="s">
        <v>53</v>
      </c>
      <c r="I1" s="76" t="s">
        <v>127</v>
      </c>
      <c r="J1" s="76" t="s">
        <v>54</v>
      </c>
      <c r="K1" s="76" t="s">
        <v>128</v>
      </c>
      <c r="L1" s="76" t="s">
        <v>50</v>
      </c>
      <c r="N1" s="75" t="s">
        <v>0</v>
      </c>
      <c r="O1" s="76" t="s">
        <v>44</v>
      </c>
      <c r="P1" s="76" t="s">
        <v>124</v>
      </c>
      <c r="Q1" s="76" t="s">
        <v>125</v>
      </c>
      <c r="R1" s="76" t="s">
        <v>52</v>
      </c>
      <c r="S1" s="76" t="s">
        <v>126</v>
      </c>
      <c r="T1" s="76" t="s">
        <v>51</v>
      </c>
      <c r="U1" s="76" t="s">
        <v>53</v>
      </c>
      <c r="V1" s="76" t="s">
        <v>127</v>
      </c>
      <c r="W1" s="76" t="s">
        <v>54</v>
      </c>
      <c r="X1" s="76" t="s">
        <v>128</v>
      </c>
      <c r="Y1" s="76" t="s">
        <v>50</v>
      </c>
      <c r="Z1" s="76" t="s">
        <v>129</v>
      </c>
      <c r="AB1" s="76" t="s">
        <v>130</v>
      </c>
      <c r="AC1" s="77">
        <v>45261.0</v>
      </c>
      <c r="AD1" s="26" t="s">
        <v>131</v>
      </c>
      <c r="AE1" s="26" t="s">
        <v>132</v>
      </c>
      <c r="AF1" s="26" t="s">
        <v>133</v>
      </c>
      <c r="AG1" s="26" t="s">
        <v>134</v>
      </c>
      <c r="AH1" s="26" t="s">
        <v>135</v>
      </c>
      <c r="AI1" s="26" t="s">
        <v>136</v>
      </c>
      <c r="AJ1" s="78" t="s">
        <v>137</v>
      </c>
      <c r="AK1" s="26" t="s">
        <v>138</v>
      </c>
    </row>
    <row r="2">
      <c r="A2" s="75" t="s">
        <v>16</v>
      </c>
      <c r="B2" s="60">
        <f t="shared" ref="B2:B13" si="1">IFERROR(VLOOKUP($B$1,INDIRECT(A2&amp;"!$A$2:$J$101"),8,FALSE),0)</f>
        <v>12150</v>
      </c>
      <c r="C2" s="60">
        <f t="shared" ref="C2:C13" si="2">IFERROR(VLOOKUP($C$1,INDIRECT(A2&amp;"!$A$2:$J$101"),8,FALSE),0)</f>
        <v>0</v>
      </c>
      <c r="D2" s="60">
        <f t="shared" ref="D2:D13" si="3">IFERROR(VLOOKUP($D$1,INDIRECT(A2&amp;"!$A$2:$J$101"),8,FALSE),0)</f>
        <v>0</v>
      </c>
      <c r="E2" s="60">
        <f t="shared" ref="E2:E13" si="4">IFERROR(VLOOKUP($E$1,INDIRECT(A2&amp;"!$A$2:$J$101"),8,FALSE),0)</f>
        <v>242822</v>
      </c>
      <c r="F2" s="60">
        <f t="shared" ref="F2:F13" si="5">IFERROR(VLOOKUP($F$1,INDIRECT(A2&amp;"!$A$2:$J$101"),8,FALSE),0)</f>
        <v>0</v>
      </c>
      <c r="G2" s="60">
        <f t="shared" ref="G2:G12" si="6">IFERROR(VLOOKUP($G$1,INDIRECT(A2&amp;"!$A$2:$J$101"),8,FALSE),0)</f>
        <v>77900</v>
      </c>
      <c r="H2" s="60">
        <f t="shared" ref="H2:H13" si="7">IFERROR(VLOOKUP($H$1,INDIRECT(A2&amp;"!$A$2:$J$101"),8,FALSE),0)</f>
        <v>0</v>
      </c>
      <c r="I2" s="60">
        <f t="shared" ref="I2:I13" si="8">IFERROR(VLOOKUP($I$1,INDIRECT(A2&amp;"!$A$2:$J$101"),8,FALSE),0)</f>
        <v>0</v>
      </c>
      <c r="J2" s="60">
        <f t="shared" ref="J2:J13" si="9">IFERROR(VLOOKUP($J$1,INDIRECT(A2&amp;"!$A$2:$J$101"),8,FALSE),0)</f>
        <v>18584</v>
      </c>
      <c r="K2" s="60">
        <f t="shared" ref="K2:K13" si="10">IFERROR(VLOOKUP($K$1,INDIRECT(A2&amp;"!$A$2:$J$101"),8,FALSE),0)</f>
        <v>0</v>
      </c>
      <c r="L2" s="60">
        <f t="shared" ref="L2:L13" si="11">IFERROR(VLOOKUP($L$1,INDIRECT(A2&amp;"!$A$2:$J$101"),8,FALSE),0)</f>
        <v>30000</v>
      </c>
      <c r="N2" s="75" t="s">
        <v>16</v>
      </c>
      <c r="O2" s="32">
        <f t="shared" ref="O2:O13" si="12">IFERROR(VLOOKUP($O$1,INDIRECT(A2&amp;"!$A$2:$J$101"),9,FALSE),0)</f>
        <v>-2610</v>
      </c>
      <c r="P2" s="32">
        <f t="shared" ref="P2:P13" si="13">IFERROR(VLOOKUP($P$1,INDIRECT(A2&amp;"!$A$2:$J$101"),9,FALSE),0)</f>
        <v>0</v>
      </c>
      <c r="Q2" s="32">
        <f t="shared" ref="Q2:Q13" si="14">IFERROR(VLOOKUP($Q$1,INDIRECT(A2&amp;"!$A$2:$J$101"),9,FALSE),0)</f>
        <v>0</v>
      </c>
      <c r="R2" s="32">
        <f t="shared" ref="R2:R13" si="15">IFERROR(VLOOKUP($R$1,INDIRECT(A2&amp;"!$A$2:$J$101"),9,FALSE),0)</f>
        <v>-63578</v>
      </c>
      <c r="S2" s="32">
        <f t="shared" ref="S2:S13" si="16">IFERROR(VLOOKUP($S$1,INDIRECT(A2&amp;"!$A$2:$J$101"),9,FALSE),0)</f>
        <v>0</v>
      </c>
      <c r="T2" s="32">
        <f t="shared" ref="T2:T13" si="17">IFERROR(VLOOKUP($T$1,INDIRECT(A2&amp;"!$A$2:$J$101"),9,FALSE),0)</f>
        <v>-6100</v>
      </c>
      <c r="U2" s="32">
        <f t="shared" ref="U2:U13" si="18">IFERROR(VLOOKUP($U$1,INDIRECT(A2&amp;"!$A$2:$J$101"),9,FALSE),0)</f>
        <v>0</v>
      </c>
      <c r="V2" s="32">
        <f t="shared" ref="V2:V13" si="19">IFERROR(VLOOKUP($V$1,INDIRECT(A2&amp;"!$A$2:$J$101"),9,FALSE),0)</f>
        <v>0</v>
      </c>
      <c r="W2" s="32">
        <f t="shared" ref="W2:W13" si="20">IFERROR(VLOOKUP($W$1,INDIRECT(A2&amp;"!$A$2:$J$101"),9,FALSE),0)</f>
        <v>-3565</v>
      </c>
      <c r="X2" s="32">
        <f t="shared" ref="X2:X13" si="21">IFERROR(VLOOKUP($X$1,INDIRECT(A2&amp;"!$A$2:$J$101"),9,FALSE),0)</f>
        <v>0</v>
      </c>
      <c r="Y2" s="32">
        <f t="shared" ref="Y2:Y13" si="22">IFERROR(VLOOKUP($Y$1,INDIRECT(A2&amp;"!$A$2:$J$101"),9,FALSE),0)</f>
        <v>-9400</v>
      </c>
      <c r="Z2" s="32">
        <f>Global!M2</f>
        <v>0.022</v>
      </c>
      <c r="AB2" s="76" t="s">
        <v>44</v>
      </c>
      <c r="AC2" s="79" t="str">
        <f t="shared" ref="AC2:AC10" si="23">'Dic2023'!E2</f>
        <v>#REF!</v>
      </c>
      <c r="AD2" s="60">
        <f>B$4</f>
        <v>11820</v>
      </c>
      <c r="AE2" s="32">
        <f t="shared" ref="AE2:AE10" si="24">IFERROR(((AD2-AC2)/AC2),0)</f>
        <v>0</v>
      </c>
      <c r="AF2" s="80">
        <f>B$7</f>
        <v>10740</v>
      </c>
      <c r="AG2" s="32">
        <f>IFERROR(((AF2-AD2)/AD2),0)</f>
        <v>-0.09137055838</v>
      </c>
      <c r="AH2" s="81">
        <f>B$10</f>
        <v>15150</v>
      </c>
      <c r="AI2" s="32">
        <f t="shared" ref="AI2:AI12" si="25">IFERROR(((AH2-AG2)/AG2),0)</f>
        <v>-165809.3333</v>
      </c>
      <c r="AJ2" s="80">
        <f>B$13</f>
        <v>0</v>
      </c>
      <c r="AK2" s="32">
        <f t="shared" ref="AK2:AK12" si="26">IFERROR(((AJ2-AG2)/AG2),0)</f>
        <v>-1</v>
      </c>
    </row>
    <row r="3">
      <c r="A3" s="75" t="s">
        <v>17</v>
      </c>
      <c r="B3" s="60">
        <f t="shared" si="1"/>
        <v>11775</v>
      </c>
      <c r="C3" s="60">
        <f t="shared" si="2"/>
        <v>0</v>
      </c>
      <c r="D3" s="60">
        <f t="shared" si="3"/>
        <v>0</v>
      </c>
      <c r="E3" s="60">
        <f t="shared" si="4"/>
        <v>204522</v>
      </c>
      <c r="F3" s="60">
        <f t="shared" si="5"/>
        <v>0</v>
      </c>
      <c r="G3" s="60">
        <f t="shared" si="6"/>
        <v>76400</v>
      </c>
      <c r="H3" s="60">
        <f t="shared" si="7"/>
        <v>0</v>
      </c>
      <c r="I3" s="60">
        <f t="shared" si="8"/>
        <v>0</v>
      </c>
      <c r="J3" s="60">
        <f t="shared" si="9"/>
        <v>16951</v>
      </c>
      <c r="K3" s="60">
        <f t="shared" si="10"/>
        <v>0</v>
      </c>
      <c r="L3" s="60">
        <f t="shared" si="11"/>
        <v>27600</v>
      </c>
      <c r="N3" s="75" t="s">
        <v>17</v>
      </c>
      <c r="O3" s="32">
        <f t="shared" si="12"/>
        <v>-2985</v>
      </c>
      <c r="P3" s="32">
        <f t="shared" si="13"/>
        <v>0</v>
      </c>
      <c r="Q3" s="32">
        <f t="shared" si="14"/>
        <v>0</v>
      </c>
      <c r="R3" s="32">
        <f t="shared" si="15"/>
        <v>-101878</v>
      </c>
      <c r="S3" s="32">
        <f t="shared" si="16"/>
        <v>0</v>
      </c>
      <c r="T3" s="32">
        <f t="shared" si="17"/>
        <v>-7600</v>
      </c>
      <c r="U3" s="32">
        <f t="shared" si="18"/>
        <v>0</v>
      </c>
      <c r="V3" s="32">
        <f t="shared" si="19"/>
        <v>0</v>
      </c>
      <c r="W3" s="32">
        <f t="shared" si="20"/>
        <v>-5198</v>
      </c>
      <c r="X3" s="32">
        <f t="shared" si="21"/>
        <v>0</v>
      </c>
      <c r="Y3" s="32">
        <f t="shared" si="22"/>
        <v>-11800</v>
      </c>
      <c r="Z3" s="32">
        <f>Global!M3</f>
        <v>0.024</v>
      </c>
      <c r="AB3" s="76" t="s">
        <v>124</v>
      </c>
      <c r="AC3" s="79" t="str">
        <f t="shared" si="23"/>
        <v>#REF!</v>
      </c>
      <c r="AD3" s="60">
        <f>C$4</f>
        <v>0</v>
      </c>
      <c r="AE3" s="32">
        <f t="shared" si="24"/>
        <v>0</v>
      </c>
      <c r="AF3" s="80">
        <f>C$7</f>
        <v>0</v>
      </c>
      <c r="AG3" s="82">
        <v>0.0</v>
      </c>
      <c r="AH3" s="81">
        <f>C$10</f>
        <v>0</v>
      </c>
      <c r="AI3" s="32">
        <f t="shared" si="25"/>
        <v>0</v>
      </c>
      <c r="AJ3" s="80">
        <f>C$13</f>
        <v>0</v>
      </c>
      <c r="AK3" s="32">
        <f t="shared" si="26"/>
        <v>0</v>
      </c>
    </row>
    <row r="4">
      <c r="A4" s="75" t="s">
        <v>18</v>
      </c>
      <c r="B4" s="60">
        <f t="shared" si="1"/>
        <v>11820</v>
      </c>
      <c r="C4" s="60">
        <f t="shared" si="2"/>
        <v>0</v>
      </c>
      <c r="D4" s="60">
        <f t="shared" si="3"/>
        <v>0</v>
      </c>
      <c r="E4" s="60">
        <f t="shared" si="4"/>
        <v>197245</v>
      </c>
      <c r="F4" s="60">
        <f t="shared" si="5"/>
        <v>0</v>
      </c>
      <c r="G4" s="60">
        <f t="shared" si="6"/>
        <v>72100</v>
      </c>
      <c r="H4" s="60">
        <f t="shared" si="7"/>
        <v>0</v>
      </c>
      <c r="I4" s="60">
        <f t="shared" si="8"/>
        <v>0</v>
      </c>
      <c r="J4" s="60">
        <f t="shared" si="9"/>
        <v>16928</v>
      </c>
      <c r="K4" s="60">
        <f t="shared" si="10"/>
        <v>0</v>
      </c>
      <c r="L4" s="60">
        <f t="shared" si="11"/>
        <v>24000</v>
      </c>
      <c r="N4" s="75" t="s">
        <v>18</v>
      </c>
      <c r="O4" s="32">
        <f t="shared" si="12"/>
        <v>-2940</v>
      </c>
      <c r="P4" s="32">
        <f t="shared" si="13"/>
        <v>0</v>
      </c>
      <c r="Q4" s="32">
        <f t="shared" si="14"/>
        <v>0</v>
      </c>
      <c r="R4" s="32">
        <f t="shared" si="15"/>
        <v>-109155</v>
      </c>
      <c r="S4" s="32">
        <f t="shared" si="16"/>
        <v>0</v>
      </c>
      <c r="T4" s="32">
        <f t="shared" si="17"/>
        <v>-11900</v>
      </c>
      <c r="U4" s="32">
        <f t="shared" si="18"/>
        <v>0</v>
      </c>
      <c r="V4" s="32">
        <f t="shared" si="19"/>
        <v>0</v>
      </c>
      <c r="W4" s="32">
        <f t="shared" si="20"/>
        <v>-5221</v>
      </c>
      <c r="X4" s="32">
        <f t="shared" si="21"/>
        <v>0</v>
      </c>
      <c r="Y4" s="32">
        <f t="shared" si="22"/>
        <v>-15400</v>
      </c>
      <c r="Z4" s="32">
        <f>Global!M4</f>
        <v>0.03</v>
      </c>
      <c r="AB4" s="76" t="s">
        <v>125</v>
      </c>
      <c r="AC4" s="79" t="str">
        <f t="shared" si="23"/>
        <v>#REF!</v>
      </c>
      <c r="AD4" s="60">
        <f>D$4</f>
        <v>0</v>
      </c>
      <c r="AE4" s="32">
        <f t="shared" si="24"/>
        <v>0</v>
      </c>
      <c r="AF4" s="80">
        <f>D$7</f>
        <v>0</v>
      </c>
      <c r="AG4" s="32">
        <f t="shared" ref="AG4:AG12" si="27">IFERROR(((AF4-AD4)/AD4),0)</f>
        <v>0</v>
      </c>
      <c r="AH4" s="81">
        <f>D$10</f>
        <v>0</v>
      </c>
      <c r="AI4" s="32">
        <f t="shared" si="25"/>
        <v>0</v>
      </c>
      <c r="AJ4" s="80">
        <f>D$13</f>
        <v>0</v>
      </c>
      <c r="AK4" s="32">
        <f t="shared" si="26"/>
        <v>0</v>
      </c>
    </row>
    <row r="5">
      <c r="A5" s="75" t="s">
        <v>20</v>
      </c>
      <c r="B5" s="60">
        <f t="shared" si="1"/>
        <v>9945</v>
      </c>
      <c r="C5" s="60">
        <f t="shared" si="2"/>
        <v>0</v>
      </c>
      <c r="D5" s="60">
        <f t="shared" si="3"/>
        <v>0</v>
      </c>
      <c r="E5" s="60">
        <f t="shared" si="4"/>
        <v>211033</v>
      </c>
      <c r="F5" s="60">
        <f t="shared" si="5"/>
        <v>0</v>
      </c>
      <c r="G5" s="60">
        <f t="shared" si="6"/>
        <v>77500</v>
      </c>
      <c r="H5" s="60">
        <f t="shared" si="7"/>
        <v>0</v>
      </c>
      <c r="I5" s="60">
        <f t="shared" si="8"/>
        <v>0</v>
      </c>
      <c r="J5" s="60">
        <f t="shared" si="9"/>
        <v>14145</v>
      </c>
      <c r="K5" s="60">
        <f t="shared" si="10"/>
        <v>0</v>
      </c>
      <c r="L5" s="60">
        <f t="shared" si="11"/>
        <v>26500</v>
      </c>
      <c r="N5" s="75" t="s">
        <v>20</v>
      </c>
      <c r="O5" s="32">
        <f t="shared" si="12"/>
        <v>-4815</v>
      </c>
      <c r="P5" s="32">
        <f t="shared" si="13"/>
        <v>0</v>
      </c>
      <c r="Q5" s="32">
        <f t="shared" si="14"/>
        <v>0</v>
      </c>
      <c r="R5" s="32">
        <f t="shared" si="15"/>
        <v>-95367</v>
      </c>
      <c r="S5" s="32">
        <f t="shared" si="16"/>
        <v>0</v>
      </c>
      <c r="T5" s="32">
        <f t="shared" si="17"/>
        <v>-6500</v>
      </c>
      <c r="U5" s="32">
        <f t="shared" si="18"/>
        <v>0</v>
      </c>
      <c r="V5" s="32">
        <f t="shared" si="19"/>
        <v>0</v>
      </c>
      <c r="W5" s="32">
        <f t="shared" si="20"/>
        <v>-8004</v>
      </c>
      <c r="X5" s="32">
        <f t="shared" si="21"/>
        <v>0</v>
      </c>
      <c r="Y5" s="32">
        <f t="shared" si="22"/>
        <v>-12900</v>
      </c>
      <c r="Z5" s="32">
        <f>Global!M5</f>
        <v>0.028</v>
      </c>
      <c r="AB5" s="76" t="s">
        <v>52</v>
      </c>
      <c r="AC5" s="79" t="str">
        <f t="shared" si="23"/>
        <v>#REF!</v>
      </c>
      <c r="AD5" s="60">
        <f>E$4</f>
        <v>197245</v>
      </c>
      <c r="AE5" s="32">
        <f t="shared" si="24"/>
        <v>0</v>
      </c>
      <c r="AF5" s="80">
        <f>E$7</f>
        <v>168520</v>
      </c>
      <c r="AG5" s="32">
        <f t="shared" si="27"/>
        <v>-0.145631068</v>
      </c>
      <c r="AH5" s="81">
        <f>E$10</f>
        <v>206054</v>
      </c>
      <c r="AI5" s="32">
        <f t="shared" si="25"/>
        <v>-1414905.133</v>
      </c>
      <c r="AJ5" s="80">
        <f>E$13</f>
        <v>0</v>
      </c>
      <c r="AK5" s="32">
        <f t="shared" si="26"/>
        <v>-1</v>
      </c>
    </row>
    <row r="6">
      <c r="A6" s="75" t="s">
        <v>22</v>
      </c>
      <c r="B6" s="60">
        <f t="shared" si="1"/>
        <v>11355</v>
      </c>
      <c r="C6" s="60">
        <f t="shared" si="2"/>
        <v>0</v>
      </c>
      <c r="D6" s="60">
        <f t="shared" si="3"/>
        <v>0</v>
      </c>
      <c r="E6" s="60">
        <f t="shared" si="4"/>
        <v>191117</v>
      </c>
      <c r="F6" s="60">
        <f t="shared" si="5"/>
        <v>0</v>
      </c>
      <c r="G6" s="60">
        <f t="shared" si="6"/>
        <v>71700</v>
      </c>
      <c r="H6" s="60">
        <f t="shared" si="7"/>
        <v>0</v>
      </c>
      <c r="I6" s="60">
        <f t="shared" si="8"/>
        <v>0</v>
      </c>
      <c r="J6" s="60">
        <f t="shared" si="9"/>
        <v>15203</v>
      </c>
      <c r="K6" s="60">
        <f t="shared" si="10"/>
        <v>0</v>
      </c>
      <c r="L6" s="60">
        <f t="shared" si="11"/>
        <v>25600</v>
      </c>
      <c r="N6" s="75" t="s">
        <v>22</v>
      </c>
      <c r="O6" s="32">
        <f t="shared" si="12"/>
        <v>-3405</v>
      </c>
      <c r="P6" s="32">
        <f t="shared" si="13"/>
        <v>0</v>
      </c>
      <c r="Q6" s="32">
        <f t="shared" si="14"/>
        <v>0</v>
      </c>
      <c r="R6" s="32">
        <f t="shared" si="15"/>
        <v>-115283</v>
      </c>
      <c r="S6" s="32">
        <f t="shared" si="16"/>
        <v>0</v>
      </c>
      <c r="T6" s="32">
        <f t="shared" si="17"/>
        <v>-12300</v>
      </c>
      <c r="U6" s="32">
        <f t="shared" si="18"/>
        <v>0</v>
      </c>
      <c r="V6" s="32">
        <f t="shared" si="19"/>
        <v>0</v>
      </c>
      <c r="W6" s="32">
        <f t="shared" si="20"/>
        <v>-6946</v>
      </c>
      <c r="X6" s="32">
        <f t="shared" si="21"/>
        <v>0</v>
      </c>
      <c r="Y6" s="32">
        <f t="shared" si="22"/>
        <v>-13800</v>
      </c>
      <c r="Z6" s="32">
        <f>Global!M6</f>
        <v>0.0172</v>
      </c>
      <c r="AB6" s="76" t="s">
        <v>126</v>
      </c>
      <c r="AC6" s="79" t="str">
        <f t="shared" si="23"/>
        <v>#REF!</v>
      </c>
      <c r="AD6" s="60">
        <f>F$4</f>
        <v>0</v>
      </c>
      <c r="AE6" s="32">
        <f t="shared" si="24"/>
        <v>0</v>
      </c>
      <c r="AF6" s="80">
        <f>F$7</f>
        <v>0</v>
      </c>
      <c r="AG6" s="32">
        <f t="shared" si="27"/>
        <v>0</v>
      </c>
      <c r="AH6" s="81">
        <f>F$10</f>
        <v>0</v>
      </c>
      <c r="AI6" s="32">
        <f t="shared" si="25"/>
        <v>0</v>
      </c>
      <c r="AJ6" s="80">
        <f>F$13</f>
        <v>0</v>
      </c>
      <c r="AK6" s="32">
        <f t="shared" si="26"/>
        <v>0</v>
      </c>
    </row>
    <row r="7">
      <c r="A7" s="75" t="s">
        <v>23</v>
      </c>
      <c r="B7" s="60">
        <f t="shared" si="1"/>
        <v>10740</v>
      </c>
      <c r="C7" s="60">
        <f t="shared" si="2"/>
        <v>0</v>
      </c>
      <c r="D7" s="60">
        <f t="shared" si="3"/>
        <v>0</v>
      </c>
      <c r="E7" s="60">
        <f t="shared" si="4"/>
        <v>168520</v>
      </c>
      <c r="F7" s="60">
        <f t="shared" si="5"/>
        <v>0</v>
      </c>
      <c r="G7" s="60">
        <f t="shared" si="6"/>
        <v>73700</v>
      </c>
      <c r="H7" s="60">
        <f t="shared" si="7"/>
        <v>0</v>
      </c>
      <c r="I7" s="60">
        <f t="shared" si="8"/>
        <v>0</v>
      </c>
      <c r="J7" s="60">
        <f t="shared" si="9"/>
        <v>14168</v>
      </c>
      <c r="K7" s="60">
        <f t="shared" si="10"/>
        <v>0</v>
      </c>
      <c r="L7" s="60">
        <f t="shared" si="11"/>
        <v>20600</v>
      </c>
      <c r="N7" s="75" t="s">
        <v>23</v>
      </c>
      <c r="O7" s="32">
        <f t="shared" si="12"/>
        <v>-4020</v>
      </c>
      <c r="P7" s="32">
        <f t="shared" si="13"/>
        <v>0</v>
      </c>
      <c r="Q7" s="32">
        <f t="shared" si="14"/>
        <v>0</v>
      </c>
      <c r="R7" s="32">
        <f t="shared" si="15"/>
        <v>-137880</v>
      </c>
      <c r="S7" s="32">
        <f t="shared" si="16"/>
        <v>0</v>
      </c>
      <c r="T7" s="32">
        <f t="shared" si="17"/>
        <v>-10300</v>
      </c>
      <c r="U7" s="32">
        <f t="shared" si="18"/>
        <v>0</v>
      </c>
      <c r="V7" s="32">
        <f t="shared" si="19"/>
        <v>0</v>
      </c>
      <c r="W7" s="32">
        <f t="shared" si="20"/>
        <v>-7981</v>
      </c>
      <c r="X7" s="32">
        <f t="shared" si="21"/>
        <v>0</v>
      </c>
      <c r="Y7" s="32">
        <f t="shared" si="22"/>
        <v>-18800</v>
      </c>
      <c r="Z7" s="32">
        <f>Global!M7</f>
        <v>0.016</v>
      </c>
      <c r="AB7" s="76" t="s">
        <v>51</v>
      </c>
      <c r="AC7" s="79" t="str">
        <f t="shared" si="23"/>
        <v>#REF!</v>
      </c>
      <c r="AD7" s="60">
        <f>G$4</f>
        <v>72100</v>
      </c>
      <c r="AE7" s="32">
        <f t="shared" si="24"/>
        <v>0</v>
      </c>
      <c r="AF7" s="80">
        <f>G$7</f>
        <v>73700</v>
      </c>
      <c r="AG7" s="32">
        <f t="shared" si="27"/>
        <v>0.02219140083</v>
      </c>
      <c r="AH7" s="81">
        <f>G$10</f>
        <v>107900</v>
      </c>
      <c r="AI7" s="32">
        <f t="shared" si="25"/>
        <v>4862242.75</v>
      </c>
      <c r="AJ7" s="80">
        <f>G$13</f>
        <v>0</v>
      </c>
      <c r="AK7" s="32">
        <f t="shared" si="26"/>
        <v>-1</v>
      </c>
    </row>
    <row r="8">
      <c r="A8" s="75" t="s">
        <v>24</v>
      </c>
      <c r="B8" s="60">
        <f t="shared" si="1"/>
        <v>11235</v>
      </c>
      <c r="C8" s="60">
        <f t="shared" si="2"/>
        <v>0</v>
      </c>
      <c r="D8" s="60">
        <f t="shared" si="3"/>
        <v>0</v>
      </c>
      <c r="E8" s="60">
        <f t="shared" si="4"/>
        <v>190351</v>
      </c>
      <c r="F8" s="60">
        <f t="shared" si="5"/>
        <v>0</v>
      </c>
      <c r="G8" s="60">
        <f t="shared" si="6"/>
        <v>81900</v>
      </c>
      <c r="H8" s="60">
        <f t="shared" si="7"/>
        <v>0</v>
      </c>
      <c r="I8" s="60">
        <f t="shared" si="8"/>
        <v>0</v>
      </c>
      <c r="J8" s="60">
        <f t="shared" si="9"/>
        <v>14950</v>
      </c>
      <c r="K8" s="60">
        <f t="shared" si="10"/>
        <v>0</v>
      </c>
      <c r="L8" s="60">
        <f t="shared" si="11"/>
        <v>22100</v>
      </c>
      <c r="N8" s="75" t="s">
        <v>24</v>
      </c>
      <c r="O8" s="32">
        <f t="shared" si="12"/>
        <v>-3525</v>
      </c>
      <c r="P8" s="32">
        <f t="shared" si="13"/>
        <v>0</v>
      </c>
      <c r="Q8" s="32">
        <f t="shared" si="14"/>
        <v>0</v>
      </c>
      <c r="R8" s="32">
        <f t="shared" si="15"/>
        <v>-116049</v>
      </c>
      <c r="S8" s="32">
        <f t="shared" si="16"/>
        <v>0</v>
      </c>
      <c r="T8" s="32">
        <f t="shared" si="17"/>
        <v>-2100</v>
      </c>
      <c r="U8" s="32">
        <f t="shared" si="18"/>
        <v>0</v>
      </c>
      <c r="V8" s="32">
        <f t="shared" si="19"/>
        <v>0</v>
      </c>
      <c r="W8" s="32">
        <f t="shared" si="20"/>
        <v>-7199</v>
      </c>
      <c r="X8" s="32">
        <f t="shared" si="21"/>
        <v>0</v>
      </c>
      <c r="Y8" s="32">
        <f t="shared" si="22"/>
        <v>-17300</v>
      </c>
      <c r="Z8" s="32">
        <f>Global!M8</f>
        <v>0.02</v>
      </c>
      <c r="AB8" s="76" t="s">
        <v>53</v>
      </c>
      <c r="AC8" s="79" t="str">
        <f t="shared" si="23"/>
        <v>#REF!</v>
      </c>
      <c r="AD8" s="60">
        <f>H$4</f>
        <v>0</v>
      </c>
      <c r="AE8" s="32">
        <f t="shared" si="24"/>
        <v>0</v>
      </c>
      <c r="AF8" s="80">
        <f>H$7</f>
        <v>0</v>
      </c>
      <c r="AG8" s="32">
        <f t="shared" si="27"/>
        <v>0</v>
      </c>
      <c r="AH8" s="81">
        <f>H$10</f>
        <v>0</v>
      </c>
      <c r="AI8" s="32">
        <f t="shared" si="25"/>
        <v>0</v>
      </c>
      <c r="AJ8" s="80">
        <f>H$13</f>
        <v>0</v>
      </c>
      <c r="AK8" s="32">
        <f t="shared" si="26"/>
        <v>0</v>
      </c>
    </row>
    <row r="9">
      <c r="A9" s="75" t="s">
        <v>25</v>
      </c>
      <c r="B9" s="60">
        <f t="shared" si="1"/>
        <v>10552.5</v>
      </c>
      <c r="C9" s="60">
        <f t="shared" si="2"/>
        <v>0</v>
      </c>
      <c r="D9" s="60">
        <f t="shared" si="3"/>
        <v>0</v>
      </c>
      <c r="E9" s="60">
        <f t="shared" si="4"/>
        <v>140944</v>
      </c>
      <c r="F9" s="60">
        <f t="shared" si="5"/>
        <v>0</v>
      </c>
      <c r="G9" s="60">
        <f t="shared" si="6"/>
        <v>67650</v>
      </c>
      <c r="H9" s="60">
        <f t="shared" si="7"/>
        <v>0</v>
      </c>
      <c r="I9" s="60">
        <f t="shared" si="8"/>
        <v>0</v>
      </c>
      <c r="J9" s="60">
        <f t="shared" si="9"/>
        <v>11684</v>
      </c>
      <c r="K9" s="60">
        <f t="shared" si="10"/>
        <v>0</v>
      </c>
      <c r="L9" s="60">
        <f t="shared" si="11"/>
        <v>3030</v>
      </c>
      <c r="N9" s="75" t="s">
        <v>25</v>
      </c>
      <c r="O9" s="32">
        <f t="shared" si="12"/>
        <v>-4207.5</v>
      </c>
      <c r="P9" s="32">
        <f t="shared" si="13"/>
        <v>0</v>
      </c>
      <c r="Q9" s="32">
        <f t="shared" si="14"/>
        <v>0</v>
      </c>
      <c r="R9" s="32">
        <f t="shared" si="15"/>
        <v>-165456</v>
      </c>
      <c r="S9" s="32">
        <f t="shared" si="16"/>
        <v>0</v>
      </c>
      <c r="T9" s="32">
        <f t="shared" si="17"/>
        <v>-16350</v>
      </c>
      <c r="U9" s="32">
        <f t="shared" si="18"/>
        <v>0</v>
      </c>
      <c r="V9" s="32">
        <f t="shared" si="19"/>
        <v>0</v>
      </c>
      <c r="W9" s="32">
        <f t="shared" si="20"/>
        <v>-10465</v>
      </c>
      <c r="X9" s="32">
        <f t="shared" si="21"/>
        <v>0</v>
      </c>
      <c r="Y9" s="32">
        <f t="shared" si="22"/>
        <v>-36370</v>
      </c>
      <c r="Z9" s="32" t="str">
        <f>Global!M9</f>
        <v/>
      </c>
      <c r="AB9" s="76" t="s">
        <v>127</v>
      </c>
      <c r="AC9" s="79" t="str">
        <f t="shared" si="23"/>
        <v>#REF!</v>
      </c>
      <c r="AD9" s="60">
        <f>I$4</f>
        <v>0</v>
      </c>
      <c r="AE9" s="32">
        <f t="shared" si="24"/>
        <v>0</v>
      </c>
      <c r="AF9" s="80">
        <f>I$7</f>
        <v>0</v>
      </c>
      <c r="AG9" s="32">
        <f t="shared" si="27"/>
        <v>0</v>
      </c>
      <c r="AH9" s="81">
        <f>I$10</f>
        <v>0</v>
      </c>
      <c r="AI9" s="32">
        <f t="shared" si="25"/>
        <v>0</v>
      </c>
      <c r="AJ9" s="80">
        <f>I$13</f>
        <v>0</v>
      </c>
      <c r="AK9" s="32">
        <f t="shared" si="26"/>
        <v>0</v>
      </c>
    </row>
    <row r="10">
      <c r="A10" s="75" t="s">
        <v>26</v>
      </c>
      <c r="B10" s="60">
        <f t="shared" si="1"/>
        <v>15150</v>
      </c>
      <c r="C10" s="60">
        <f t="shared" si="2"/>
        <v>0</v>
      </c>
      <c r="D10" s="60">
        <f t="shared" si="3"/>
        <v>0</v>
      </c>
      <c r="E10" s="60">
        <f t="shared" si="4"/>
        <v>206054</v>
      </c>
      <c r="F10" s="60">
        <f t="shared" si="5"/>
        <v>0</v>
      </c>
      <c r="G10" s="60">
        <f t="shared" si="6"/>
        <v>107900</v>
      </c>
      <c r="H10" s="60">
        <f t="shared" si="7"/>
        <v>0</v>
      </c>
      <c r="I10" s="60">
        <f t="shared" si="8"/>
        <v>0</v>
      </c>
      <c r="J10" s="60">
        <f t="shared" si="9"/>
        <v>18365.5</v>
      </c>
      <c r="K10" s="60">
        <f t="shared" si="10"/>
        <v>0</v>
      </c>
      <c r="L10" s="60">
        <f t="shared" si="11"/>
        <v>4850</v>
      </c>
      <c r="N10" s="75" t="s">
        <v>26</v>
      </c>
      <c r="O10" s="32">
        <f t="shared" si="12"/>
        <v>390</v>
      </c>
      <c r="P10" s="32">
        <f t="shared" si="13"/>
        <v>0</v>
      </c>
      <c r="Q10" s="32">
        <f t="shared" si="14"/>
        <v>0</v>
      </c>
      <c r="R10" s="32">
        <f t="shared" si="15"/>
        <v>-100346</v>
      </c>
      <c r="S10" s="32">
        <f t="shared" si="16"/>
        <v>0</v>
      </c>
      <c r="T10" s="32">
        <f t="shared" si="17"/>
        <v>23900</v>
      </c>
      <c r="U10" s="32">
        <f t="shared" si="18"/>
        <v>0</v>
      </c>
      <c r="V10" s="32">
        <f t="shared" si="19"/>
        <v>0</v>
      </c>
      <c r="W10" s="32">
        <f t="shared" si="20"/>
        <v>-3783.5</v>
      </c>
      <c r="X10" s="32">
        <f t="shared" si="21"/>
        <v>0</v>
      </c>
      <c r="Y10" s="32">
        <f t="shared" si="22"/>
        <v>-34550</v>
      </c>
      <c r="Z10" s="32" t="str">
        <f>Global!M10</f>
        <v/>
      </c>
      <c r="AB10" s="76" t="s">
        <v>54</v>
      </c>
      <c r="AC10" s="79" t="str">
        <f t="shared" si="23"/>
        <v>#REF!</v>
      </c>
      <c r="AD10" s="60">
        <f>J$4</f>
        <v>16928</v>
      </c>
      <c r="AE10" s="32">
        <f t="shared" si="24"/>
        <v>0</v>
      </c>
      <c r="AF10" s="80">
        <f>J$7</f>
        <v>14168</v>
      </c>
      <c r="AG10" s="32">
        <f t="shared" si="27"/>
        <v>-0.1630434783</v>
      </c>
      <c r="AH10" s="81">
        <f>J$10</f>
        <v>18365.5</v>
      </c>
      <c r="AI10" s="32">
        <f t="shared" si="25"/>
        <v>-112642.7333</v>
      </c>
      <c r="AJ10" s="80">
        <f>J$13</f>
        <v>0</v>
      </c>
      <c r="AK10" s="32">
        <f t="shared" si="26"/>
        <v>-1</v>
      </c>
    </row>
    <row r="11">
      <c r="A11" s="75" t="s">
        <v>27</v>
      </c>
      <c r="B11" s="60">
        <f t="shared" si="1"/>
        <v>0</v>
      </c>
      <c r="C11" s="60">
        <f t="shared" si="2"/>
        <v>0</v>
      </c>
      <c r="D11" s="60">
        <f t="shared" si="3"/>
        <v>0</v>
      </c>
      <c r="E11" s="60">
        <f t="shared" si="4"/>
        <v>0</v>
      </c>
      <c r="F11" s="60">
        <f t="shared" si="5"/>
        <v>0</v>
      </c>
      <c r="G11" s="60">
        <f t="shared" si="6"/>
        <v>0</v>
      </c>
      <c r="H11" s="60">
        <f t="shared" si="7"/>
        <v>0</v>
      </c>
      <c r="I11" s="60">
        <f t="shared" si="8"/>
        <v>0</v>
      </c>
      <c r="J11" s="60">
        <f t="shared" si="9"/>
        <v>0</v>
      </c>
      <c r="K11" s="60">
        <f t="shared" si="10"/>
        <v>0</v>
      </c>
      <c r="L11" s="60">
        <f t="shared" si="11"/>
        <v>0</v>
      </c>
      <c r="N11" s="75" t="s">
        <v>27</v>
      </c>
      <c r="O11" s="32">
        <f t="shared" si="12"/>
        <v>0</v>
      </c>
      <c r="P11" s="32">
        <f t="shared" si="13"/>
        <v>0</v>
      </c>
      <c r="Q11" s="32">
        <f t="shared" si="14"/>
        <v>0</v>
      </c>
      <c r="R11" s="32">
        <f t="shared" si="15"/>
        <v>0</v>
      </c>
      <c r="S11" s="32">
        <f t="shared" si="16"/>
        <v>0</v>
      </c>
      <c r="T11" s="32">
        <f t="shared" si="17"/>
        <v>0</v>
      </c>
      <c r="U11" s="32">
        <f t="shared" si="18"/>
        <v>0</v>
      </c>
      <c r="V11" s="32">
        <f t="shared" si="19"/>
        <v>0</v>
      </c>
      <c r="W11" s="32">
        <f t="shared" si="20"/>
        <v>0</v>
      </c>
      <c r="X11" s="32">
        <f t="shared" si="21"/>
        <v>0</v>
      </c>
      <c r="Y11" s="32">
        <f t="shared" si="22"/>
        <v>0</v>
      </c>
      <c r="Z11" s="32" t="str">
        <f>Global!M11</f>
        <v/>
      </c>
      <c r="AB11" s="76" t="s">
        <v>128</v>
      </c>
      <c r="AC11" s="83">
        <v>0.0</v>
      </c>
      <c r="AD11" s="60">
        <f>K$4</f>
        <v>0</v>
      </c>
      <c r="AE11" s="32">
        <v>0.0</v>
      </c>
      <c r="AF11" s="60">
        <f>K$7</f>
        <v>0</v>
      </c>
      <c r="AG11" s="32">
        <f t="shared" si="27"/>
        <v>0</v>
      </c>
      <c r="AH11" s="60">
        <f>K$10</f>
        <v>0</v>
      </c>
      <c r="AI11" s="32">
        <f t="shared" si="25"/>
        <v>0</v>
      </c>
      <c r="AJ11" s="80">
        <f>K$13</f>
        <v>0</v>
      </c>
      <c r="AK11" s="32">
        <f t="shared" si="26"/>
        <v>0</v>
      </c>
    </row>
    <row r="12">
      <c r="A12" s="75" t="s">
        <v>28</v>
      </c>
      <c r="B12" s="60">
        <f t="shared" si="1"/>
        <v>0</v>
      </c>
      <c r="C12" s="60">
        <f t="shared" si="2"/>
        <v>0</v>
      </c>
      <c r="D12" s="60">
        <f t="shared" si="3"/>
        <v>0</v>
      </c>
      <c r="E12" s="60">
        <f t="shared" si="4"/>
        <v>0</v>
      </c>
      <c r="F12" s="60">
        <f t="shared" si="5"/>
        <v>0</v>
      </c>
      <c r="G12" s="60">
        <f t="shared" si="6"/>
        <v>0</v>
      </c>
      <c r="H12" s="60">
        <f t="shared" si="7"/>
        <v>0</v>
      </c>
      <c r="I12" s="60">
        <f t="shared" si="8"/>
        <v>0</v>
      </c>
      <c r="J12" s="60">
        <f t="shared" si="9"/>
        <v>0</v>
      </c>
      <c r="K12" s="60">
        <f t="shared" si="10"/>
        <v>0</v>
      </c>
      <c r="L12" s="60">
        <f t="shared" si="11"/>
        <v>0</v>
      </c>
      <c r="N12" s="75" t="s">
        <v>28</v>
      </c>
      <c r="O12" s="32">
        <f t="shared" si="12"/>
        <v>0</v>
      </c>
      <c r="P12" s="32">
        <f t="shared" si="13"/>
        <v>0</v>
      </c>
      <c r="Q12" s="32">
        <f t="shared" si="14"/>
        <v>0</v>
      </c>
      <c r="R12" s="32">
        <f t="shared" si="15"/>
        <v>0</v>
      </c>
      <c r="S12" s="32">
        <f t="shared" si="16"/>
        <v>0</v>
      </c>
      <c r="T12" s="32">
        <f t="shared" si="17"/>
        <v>0</v>
      </c>
      <c r="U12" s="32">
        <f t="shared" si="18"/>
        <v>0</v>
      </c>
      <c r="V12" s="32">
        <f t="shared" si="19"/>
        <v>0</v>
      </c>
      <c r="W12" s="32">
        <f t="shared" si="20"/>
        <v>0</v>
      </c>
      <c r="X12" s="32">
        <f t="shared" si="21"/>
        <v>0</v>
      </c>
      <c r="Y12" s="32">
        <f t="shared" si="22"/>
        <v>0</v>
      </c>
      <c r="Z12" s="32" t="str">
        <f>Global!M12</f>
        <v/>
      </c>
      <c r="AB12" s="76" t="s">
        <v>50</v>
      </c>
      <c r="AC12" s="83">
        <v>0.0</v>
      </c>
      <c r="AD12" s="60">
        <f>L$4</f>
        <v>24000</v>
      </c>
      <c r="AE12" s="32">
        <v>0.0</v>
      </c>
      <c r="AF12" s="60">
        <f>L$7</f>
        <v>20600</v>
      </c>
      <c r="AG12" s="32">
        <f t="shared" si="27"/>
        <v>-0.1416666667</v>
      </c>
      <c r="AH12" s="60">
        <f>L$10</f>
        <v>4850</v>
      </c>
      <c r="AI12" s="32">
        <f t="shared" si="25"/>
        <v>-34236.29412</v>
      </c>
      <c r="AJ12" s="80">
        <f>L$13</f>
        <v>0</v>
      </c>
      <c r="AK12" s="32">
        <f t="shared" si="26"/>
        <v>-1</v>
      </c>
    </row>
    <row r="13">
      <c r="A13" s="75" t="s">
        <v>29</v>
      </c>
      <c r="B13" s="60">
        <f t="shared" si="1"/>
        <v>0</v>
      </c>
      <c r="C13" s="60">
        <f t="shared" si="2"/>
        <v>0</v>
      </c>
      <c r="D13" s="60">
        <f t="shared" si="3"/>
        <v>0</v>
      </c>
      <c r="E13" s="60">
        <f t="shared" si="4"/>
        <v>0</v>
      </c>
      <c r="F13" s="60">
        <f t="shared" si="5"/>
        <v>0</v>
      </c>
      <c r="G13" s="60">
        <f t="array" ref="G13">IFERROR(VLOOKUP(#REF!,INDIRECT(#REF!&amp;"!$A$2:$J$101"),8,FALSE),0)</f>
        <v>0</v>
      </c>
      <c r="H13" s="60">
        <f t="shared" si="7"/>
        <v>0</v>
      </c>
      <c r="I13" s="60">
        <f t="shared" si="8"/>
        <v>0</v>
      </c>
      <c r="J13" s="60">
        <f t="shared" si="9"/>
        <v>0</v>
      </c>
      <c r="K13" s="60">
        <f t="shared" si="10"/>
        <v>0</v>
      </c>
      <c r="L13" s="60">
        <f t="shared" si="11"/>
        <v>0</v>
      </c>
      <c r="N13" s="75" t="s">
        <v>29</v>
      </c>
      <c r="O13" s="32">
        <f t="shared" si="12"/>
        <v>0</v>
      </c>
      <c r="P13" s="32">
        <f t="shared" si="13"/>
        <v>0</v>
      </c>
      <c r="Q13" s="32">
        <f t="shared" si="14"/>
        <v>0</v>
      </c>
      <c r="R13" s="32">
        <f t="shared" si="15"/>
        <v>0</v>
      </c>
      <c r="S13" s="32">
        <f t="shared" si="16"/>
        <v>0</v>
      </c>
      <c r="T13" s="32">
        <f t="shared" si="17"/>
        <v>0</v>
      </c>
      <c r="U13" s="32">
        <f t="shared" si="18"/>
        <v>0</v>
      </c>
      <c r="V13" s="32">
        <f t="shared" si="19"/>
        <v>0</v>
      </c>
      <c r="W13" s="32">
        <f t="shared" si="20"/>
        <v>0</v>
      </c>
      <c r="X13" s="32">
        <f t="shared" si="21"/>
        <v>0</v>
      </c>
      <c r="Y13" s="32">
        <f t="shared" si="22"/>
        <v>0</v>
      </c>
      <c r="Z13" s="32" t="str">
        <f>Global!M13</f>
        <v/>
      </c>
    </row>
    <row r="14">
      <c r="A14" s="84" t="s">
        <v>10</v>
      </c>
      <c r="B14" s="85">
        <f t="shared" ref="B14:L14" si="28">SUM(B2:B13)</f>
        <v>104722.5</v>
      </c>
      <c r="C14" s="85">
        <f t="shared" si="28"/>
        <v>0</v>
      </c>
      <c r="D14" s="85">
        <f t="shared" si="28"/>
        <v>0</v>
      </c>
      <c r="E14" s="85">
        <f t="shared" si="28"/>
        <v>1752608</v>
      </c>
      <c r="F14" s="85">
        <f t="shared" si="28"/>
        <v>0</v>
      </c>
      <c r="G14" s="85">
        <f t="shared" si="28"/>
        <v>706750</v>
      </c>
      <c r="H14" s="85">
        <f t="shared" si="28"/>
        <v>0</v>
      </c>
      <c r="I14" s="85">
        <f t="shared" si="28"/>
        <v>0</v>
      </c>
      <c r="J14" s="85">
        <f t="shared" si="28"/>
        <v>140978.5</v>
      </c>
      <c r="K14" s="85">
        <f t="shared" si="28"/>
        <v>0</v>
      </c>
      <c r="L14" s="85">
        <f t="shared" si="28"/>
        <v>184280</v>
      </c>
      <c r="N14" s="84" t="s">
        <v>139</v>
      </c>
      <c r="O14" s="86">
        <f t="shared" ref="O14:Z14" si="29">AVERAGE(O2:O13)</f>
        <v>-2343.125</v>
      </c>
      <c r="P14" s="86">
        <f t="shared" si="29"/>
        <v>0</v>
      </c>
      <c r="Q14" s="86">
        <f t="shared" si="29"/>
        <v>0</v>
      </c>
      <c r="R14" s="86">
        <f t="shared" si="29"/>
        <v>-83749.33333</v>
      </c>
      <c r="S14" s="86">
        <f t="shared" si="29"/>
        <v>0</v>
      </c>
      <c r="T14" s="86">
        <f t="shared" si="29"/>
        <v>-4104.166667</v>
      </c>
      <c r="U14" s="86">
        <f t="shared" si="29"/>
        <v>0</v>
      </c>
      <c r="V14" s="86">
        <f t="shared" si="29"/>
        <v>0</v>
      </c>
      <c r="W14" s="86">
        <f t="shared" si="29"/>
        <v>-4863.541667</v>
      </c>
      <c r="X14" s="86">
        <f t="shared" si="29"/>
        <v>0</v>
      </c>
      <c r="Y14" s="86">
        <f t="shared" si="29"/>
        <v>-14193.33333</v>
      </c>
      <c r="Z14" s="86">
        <f t="shared" si="29"/>
        <v>0.02245714286</v>
      </c>
      <c r="AB14" s="87"/>
    </row>
    <row r="15">
      <c r="N15" s="84" t="s">
        <v>140</v>
      </c>
      <c r="O15" s="86">
        <f t="shared" ref="O15:Z15" si="30">SUM(O2:O13)</f>
        <v>-28117.5</v>
      </c>
      <c r="P15" s="86">
        <f t="shared" si="30"/>
        <v>0</v>
      </c>
      <c r="Q15" s="86">
        <f t="shared" si="30"/>
        <v>0</v>
      </c>
      <c r="R15" s="86">
        <f t="shared" si="30"/>
        <v>-1004992</v>
      </c>
      <c r="S15" s="86">
        <f t="shared" si="30"/>
        <v>0</v>
      </c>
      <c r="T15" s="86">
        <f t="shared" si="30"/>
        <v>-49250</v>
      </c>
      <c r="U15" s="86">
        <f t="shared" si="30"/>
        <v>0</v>
      </c>
      <c r="V15" s="86">
        <f t="shared" si="30"/>
        <v>0</v>
      </c>
      <c r="W15" s="86">
        <f t="shared" si="30"/>
        <v>-58362.5</v>
      </c>
      <c r="X15" s="86">
        <f t="shared" si="30"/>
        <v>0</v>
      </c>
      <c r="Y15" s="86">
        <f t="shared" si="30"/>
        <v>-170320</v>
      </c>
      <c r="Z15" s="86">
        <f t="shared" si="30"/>
        <v>0.1572</v>
      </c>
      <c r="AB15" s="88" t="s">
        <v>141</v>
      </c>
      <c r="AC15" s="88"/>
      <c r="AD15" s="88" t="s">
        <v>142</v>
      </c>
      <c r="AE15" s="88" t="s">
        <v>143</v>
      </c>
      <c r="AF15" s="88" t="s">
        <v>144</v>
      </c>
      <c r="AG15" s="88" t="s">
        <v>145</v>
      </c>
      <c r="AH15" s="88" t="s">
        <v>146</v>
      </c>
      <c r="AI15" s="88" t="s">
        <v>147</v>
      </c>
      <c r="AJ15" s="88" t="s">
        <v>148</v>
      </c>
      <c r="AK15" s="88" t="s">
        <v>149</v>
      </c>
    </row>
    <row r="16">
      <c r="AB16" s="89" t="s">
        <v>130</v>
      </c>
      <c r="AC16" s="89" t="s">
        <v>150</v>
      </c>
      <c r="AD16" s="89" t="s">
        <v>151</v>
      </c>
      <c r="AE16" s="89" t="s">
        <v>152</v>
      </c>
      <c r="AF16" s="89" t="s">
        <v>153</v>
      </c>
      <c r="AG16" s="89" t="s">
        <v>154</v>
      </c>
      <c r="AH16" s="89" t="s">
        <v>155</v>
      </c>
      <c r="AI16" s="89" t="s">
        <v>156</v>
      </c>
      <c r="AJ16" s="89" t="s">
        <v>157</v>
      </c>
      <c r="AK16" s="89" t="s">
        <v>158</v>
      </c>
      <c r="AL16" s="89" t="s">
        <v>149</v>
      </c>
    </row>
    <row r="17">
      <c r="A17" s="90" t="s">
        <v>40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73"/>
      <c r="N17" s="90" t="s">
        <v>40</v>
      </c>
      <c r="O17" s="73"/>
      <c r="P17" s="92" t="s">
        <v>159</v>
      </c>
      <c r="Q17" s="92" t="s">
        <v>160</v>
      </c>
      <c r="AB17" s="28" t="s">
        <v>161</v>
      </c>
      <c r="AC17" s="28" t="s">
        <v>50</v>
      </c>
      <c r="AD17" s="60">
        <f>IFERROR(__xludf.DUMMYFUNCTION("GOOGLEFINANCE(""BCBA:""&amp;$AC$17,AE$16)"),48.5)</f>
        <v>48.5</v>
      </c>
      <c r="AE17" s="60">
        <f>IFERROR(__xludf.DUMMYFUNCTION("GOOGLEFINANCE(""BCBA:""&amp;$AC$17,AF$16)"),47.9)</f>
        <v>47.9</v>
      </c>
      <c r="AF17" s="60">
        <f>IFERROR(__xludf.DUMMYFUNCTION("GOOGLEFINANCE(""BCBA:""&amp;$AC$17,AG$16)"),24.05)</f>
        <v>24.05</v>
      </c>
      <c r="AG17" s="60">
        <f>IFERROR(__xludf.DUMMYFUNCTION("GOOGLEFINANCE(""BCBA:""&amp;$AC$17,AH$16)"),59.2)</f>
        <v>59.2</v>
      </c>
      <c r="AH17" s="32">
        <f>IFERROR(__xludf.DUMMYFUNCTION("(GOOGLEFINANCE(""BCBA:""&amp;$AC$17,AI$16))/100"),0.0125)</f>
        <v>0.0125</v>
      </c>
      <c r="AI17" s="60">
        <f>IFERROR(__xludf.DUMMYFUNCTION("GOOGLEFINANCE(""BCBA:""&amp;$AC$17,AJ$16)"),0.6)</f>
        <v>0.6</v>
      </c>
      <c r="AJ17" s="32">
        <f>(AG17/AF17)-1</f>
        <v>1.461538462</v>
      </c>
      <c r="AK17" s="83">
        <v>90.0</v>
      </c>
    </row>
    <row r="18">
      <c r="A18" s="93" t="s">
        <v>0</v>
      </c>
      <c r="B18" s="94" t="s">
        <v>44</v>
      </c>
      <c r="C18" s="94" t="s">
        <v>124</v>
      </c>
      <c r="D18" s="94" t="s">
        <v>125</v>
      </c>
      <c r="E18" s="94" t="s">
        <v>52</v>
      </c>
      <c r="F18" s="76" t="s">
        <v>126</v>
      </c>
      <c r="G18" s="76" t="s">
        <v>51</v>
      </c>
      <c r="H18" s="76" t="s">
        <v>53</v>
      </c>
      <c r="I18" s="76" t="s">
        <v>127</v>
      </c>
      <c r="J18" s="76" t="s">
        <v>54</v>
      </c>
      <c r="K18" s="76" t="s">
        <v>128</v>
      </c>
      <c r="L18" s="76" t="s">
        <v>50</v>
      </c>
      <c r="N18" s="95" t="s">
        <v>44</v>
      </c>
      <c r="O18" s="32" t="str">
        <f>B$31</f>
        <v>#REF!</v>
      </c>
      <c r="P18" s="32" t="str">
        <f>((B$31-B$32)/B$32)+100%</f>
        <v>#REF!</v>
      </c>
      <c r="Q18" s="96" t="str">
        <f>(B$32+(B$32*P18))-B$32</f>
        <v>#REF!</v>
      </c>
      <c r="AJ18" s="97"/>
    </row>
    <row r="19">
      <c r="A19" s="75" t="s">
        <v>16</v>
      </c>
      <c r="B19" s="96" t="str">
        <f t="shared" ref="B19:J19" si="31">B2-B32</f>
        <v>#REF!</v>
      </c>
      <c r="C19" s="96" t="str">
        <f t="shared" si="31"/>
        <v>#REF!</v>
      </c>
      <c r="D19" s="96" t="str">
        <f t="shared" si="31"/>
        <v>#REF!</v>
      </c>
      <c r="E19" s="96" t="str">
        <f t="shared" si="31"/>
        <v>#REF!</v>
      </c>
      <c r="F19" s="96" t="str">
        <f t="shared" si="31"/>
        <v>#REF!</v>
      </c>
      <c r="G19" s="96" t="str">
        <f t="shared" si="31"/>
        <v>#REF!</v>
      </c>
      <c r="H19" s="96" t="str">
        <f t="shared" si="31"/>
        <v>#REF!</v>
      </c>
      <c r="I19" s="96" t="str">
        <f t="shared" si="31"/>
        <v>#REF!</v>
      </c>
      <c r="J19" s="96" t="str">
        <f t="shared" si="31"/>
        <v>#REF!</v>
      </c>
      <c r="K19" s="96">
        <f t="shared" ref="K19:K22" si="33">L2</f>
        <v>30000</v>
      </c>
      <c r="L19" s="98">
        <v>0.0</v>
      </c>
      <c r="N19" s="95" t="s">
        <v>124</v>
      </c>
      <c r="O19" s="32" t="str">
        <f>C$31</f>
        <v>#REF!</v>
      </c>
      <c r="P19" s="32" t="str">
        <f>((C$31-C$32)/C$32)+100%</f>
        <v>#REF!</v>
      </c>
      <c r="Q19" s="96" t="str">
        <f t="shared" ref="Q19:Q20" si="34">(C$32+(C$32*P19))-C$32</f>
        <v>#REF!</v>
      </c>
    </row>
    <row r="20">
      <c r="A20" s="75" t="s">
        <v>17</v>
      </c>
      <c r="B20" s="96">
        <f t="shared" ref="B20:J20" si="32">B3-B2</f>
        <v>-375</v>
      </c>
      <c r="C20" s="96">
        <f t="shared" si="32"/>
        <v>0</v>
      </c>
      <c r="D20" s="96">
        <f t="shared" si="32"/>
        <v>0</v>
      </c>
      <c r="E20" s="96">
        <f t="shared" si="32"/>
        <v>-38300</v>
      </c>
      <c r="F20" s="96">
        <f t="shared" si="32"/>
        <v>0</v>
      </c>
      <c r="G20" s="96">
        <f t="shared" si="32"/>
        <v>-1500</v>
      </c>
      <c r="H20" s="96">
        <f t="shared" si="32"/>
        <v>0</v>
      </c>
      <c r="I20" s="96">
        <f t="shared" si="32"/>
        <v>0</v>
      </c>
      <c r="J20" s="96">
        <f t="shared" si="32"/>
        <v>-1633</v>
      </c>
      <c r="K20" s="96">
        <f t="shared" si="33"/>
        <v>27600</v>
      </c>
      <c r="L20" s="98">
        <v>0.0</v>
      </c>
      <c r="N20" s="95" t="s">
        <v>125</v>
      </c>
      <c r="O20" s="32" t="str">
        <f>D$31</f>
        <v>#REF!</v>
      </c>
      <c r="P20" s="32" t="str">
        <f>((D$31-D$32)/D$32)+100%</f>
        <v>#REF!</v>
      </c>
      <c r="Q20" s="96" t="str">
        <f t="shared" si="34"/>
        <v>#REF!</v>
      </c>
      <c r="AB20" s="28" t="s">
        <v>156</v>
      </c>
      <c r="AC20" s="99" t="s">
        <v>162</v>
      </c>
      <c r="AD20" s="91"/>
      <c r="AE20" s="91"/>
      <c r="AF20" s="91"/>
      <c r="AG20" s="91"/>
      <c r="AH20" s="91"/>
      <c r="AI20" s="73"/>
    </row>
    <row r="21">
      <c r="A21" s="75" t="s">
        <v>18</v>
      </c>
      <c r="B21" s="96">
        <f t="shared" ref="B21:J21" si="35">B4-B3</f>
        <v>45</v>
      </c>
      <c r="C21" s="96">
        <f t="shared" si="35"/>
        <v>0</v>
      </c>
      <c r="D21" s="96">
        <f t="shared" si="35"/>
        <v>0</v>
      </c>
      <c r="E21" s="96">
        <f t="shared" si="35"/>
        <v>-7277</v>
      </c>
      <c r="F21" s="96">
        <f t="shared" si="35"/>
        <v>0</v>
      </c>
      <c r="G21" s="96">
        <f t="shared" si="35"/>
        <v>-4300</v>
      </c>
      <c r="H21" s="96">
        <f t="shared" si="35"/>
        <v>0</v>
      </c>
      <c r="I21" s="96">
        <f t="shared" si="35"/>
        <v>0</v>
      </c>
      <c r="J21" s="96">
        <f t="shared" si="35"/>
        <v>-23</v>
      </c>
      <c r="K21" s="96">
        <f t="shared" si="33"/>
        <v>24000</v>
      </c>
      <c r="L21" s="98">
        <v>0.0</v>
      </c>
      <c r="N21" s="95" t="s">
        <v>52</v>
      </c>
      <c r="O21" s="32" t="str">
        <f>E$31</f>
        <v>#REF!</v>
      </c>
      <c r="P21" s="32" t="str">
        <f>((E$31-E$32)/E$32)+100%</f>
        <v>#REF!</v>
      </c>
      <c r="Q21" s="96" t="str">
        <f>(E$32+(E$32*P21))-E$32</f>
        <v>#REF!</v>
      </c>
      <c r="AB21" s="28" t="s">
        <v>157</v>
      </c>
      <c r="AC21" s="99" t="s">
        <v>163</v>
      </c>
      <c r="AD21" s="91"/>
      <c r="AE21" s="91"/>
      <c r="AF21" s="91"/>
      <c r="AG21" s="91"/>
      <c r="AH21" s="91"/>
      <c r="AI21" s="73"/>
    </row>
    <row r="22">
      <c r="A22" s="75" t="s">
        <v>20</v>
      </c>
      <c r="B22" s="96">
        <f t="shared" ref="B22:J22" si="36">B5-B4</f>
        <v>-1875</v>
      </c>
      <c r="C22" s="96">
        <f t="shared" si="36"/>
        <v>0</v>
      </c>
      <c r="D22" s="96">
        <f t="shared" si="36"/>
        <v>0</v>
      </c>
      <c r="E22" s="96">
        <f t="shared" si="36"/>
        <v>13788</v>
      </c>
      <c r="F22" s="96">
        <f t="shared" si="36"/>
        <v>0</v>
      </c>
      <c r="G22" s="96">
        <f t="shared" si="36"/>
        <v>5400</v>
      </c>
      <c r="H22" s="96">
        <f t="shared" si="36"/>
        <v>0</v>
      </c>
      <c r="I22" s="96">
        <f t="shared" si="36"/>
        <v>0</v>
      </c>
      <c r="J22" s="96">
        <f t="shared" si="36"/>
        <v>-2783</v>
      </c>
      <c r="K22" s="96">
        <f t="shared" si="33"/>
        <v>26500</v>
      </c>
      <c r="L22" s="98">
        <v>0.0</v>
      </c>
      <c r="N22" s="100" t="s">
        <v>126</v>
      </c>
      <c r="O22" s="32" t="str">
        <f>F$31</f>
        <v>#REF!</v>
      </c>
      <c r="P22" s="32" t="str">
        <f>((F$31-F$32)/F$32)+100%</f>
        <v>#REF!</v>
      </c>
      <c r="Q22" s="96" t="str">
        <f>(F$32+(F$32*P22))-F$32</f>
        <v>#REF!</v>
      </c>
    </row>
    <row r="23">
      <c r="A23" s="75" t="s">
        <v>22</v>
      </c>
      <c r="B23" s="96">
        <f t="shared" ref="B23:B24" si="38">B6-B5</f>
        <v>1410</v>
      </c>
      <c r="C23" s="98">
        <v>0.0</v>
      </c>
      <c r="D23" s="96">
        <f t="shared" ref="D23:J23" si="37">D6-D5</f>
        <v>0</v>
      </c>
      <c r="E23" s="96">
        <f t="shared" si="37"/>
        <v>-19916</v>
      </c>
      <c r="F23" s="96">
        <f t="shared" si="37"/>
        <v>0</v>
      </c>
      <c r="G23" s="96">
        <f t="shared" si="37"/>
        <v>-5800</v>
      </c>
      <c r="H23" s="96">
        <f t="shared" si="37"/>
        <v>0</v>
      </c>
      <c r="I23" s="96">
        <f t="shared" si="37"/>
        <v>0</v>
      </c>
      <c r="J23" s="96">
        <f t="shared" si="37"/>
        <v>1058</v>
      </c>
      <c r="K23" s="98">
        <v>0.0</v>
      </c>
      <c r="L23" s="98">
        <v>0.0</v>
      </c>
      <c r="N23" s="100" t="s">
        <v>51</v>
      </c>
      <c r="O23" s="32" t="str">
        <f>G$31</f>
        <v>#REF!</v>
      </c>
      <c r="P23" s="32" t="str">
        <f>((G$31-G$32)/G$32)+100%</f>
        <v>#REF!</v>
      </c>
      <c r="Q23" s="96" t="str">
        <f>(G$32+(G$32*P23))-G$32</f>
        <v>#REF!</v>
      </c>
    </row>
    <row r="24">
      <c r="A24" s="75" t="s">
        <v>23</v>
      </c>
      <c r="B24" s="96">
        <f t="shared" si="38"/>
        <v>-615</v>
      </c>
      <c r="C24" s="98">
        <v>0.0</v>
      </c>
      <c r="D24" s="96">
        <f t="shared" ref="D24:L24" si="39">D7-D6</f>
        <v>0</v>
      </c>
      <c r="E24" s="96">
        <f t="shared" si="39"/>
        <v>-22597</v>
      </c>
      <c r="F24" s="96">
        <f t="shared" si="39"/>
        <v>0</v>
      </c>
      <c r="G24" s="96">
        <f t="shared" si="39"/>
        <v>2000</v>
      </c>
      <c r="H24" s="96">
        <f t="shared" si="39"/>
        <v>0</v>
      </c>
      <c r="I24" s="96">
        <f t="shared" si="39"/>
        <v>0</v>
      </c>
      <c r="J24" s="96">
        <f t="shared" si="39"/>
        <v>-1035</v>
      </c>
      <c r="K24" s="96">
        <f t="shared" si="39"/>
        <v>0</v>
      </c>
      <c r="L24" s="98">
        <f t="shared" si="39"/>
        <v>-5000</v>
      </c>
      <c r="N24" s="100" t="s">
        <v>53</v>
      </c>
      <c r="O24" s="32" t="str">
        <f>H$31</f>
        <v>#REF!</v>
      </c>
      <c r="P24" s="32" t="str">
        <f>((H$31-H$32)/H$32)+100%</f>
        <v>#REF!</v>
      </c>
      <c r="Q24" s="96" t="str">
        <f>(H$32+(H$32*P24))-H$32</f>
        <v>#REF!</v>
      </c>
    </row>
    <row r="25">
      <c r="A25" s="75" t="s">
        <v>24</v>
      </c>
      <c r="B25" s="98">
        <v>0.0</v>
      </c>
      <c r="C25" s="96">
        <f>C8-C7</f>
        <v>0</v>
      </c>
      <c r="D25" s="98">
        <v>0.0</v>
      </c>
      <c r="E25" s="98">
        <v>0.0</v>
      </c>
      <c r="F25" s="98">
        <v>0.0</v>
      </c>
      <c r="G25" s="98">
        <v>0.0</v>
      </c>
      <c r="H25" s="98">
        <v>0.0</v>
      </c>
      <c r="I25" s="98">
        <v>0.0</v>
      </c>
      <c r="J25" s="96">
        <f t="shared" ref="J25:J30" si="42">K8</f>
        <v>0</v>
      </c>
      <c r="K25" s="96">
        <f>K7-K6</f>
        <v>0</v>
      </c>
      <c r="L25" s="98">
        <v>0.0</v>
      </c>
      <c r="N25" s="100" t="s">
        <v>127</v>
      </c>
      <c r="O25" s="32" t="str">
        <f>I$31</f>
        <v>#REF!</v>
      </c>
      <c r="P25" s="32" t="str">
        <f>((I$31-I$32)/I$32)+100%</f>
        <v>#REF!</v>
      </c>
      <c r="Q25" s="96" t="str">
        <f>(I$32+(I$32*P25))-I$32</f>
        <v>#REF!</v>
      </c>
    </row>
    <row r="26">
      <c r="A26" s="75" t="s">
        <v>25</v>
      </c>
      <c r="B26" s="96">
        <f t="shared" ref="B26:D26" si="40">B9-B8</f>
        <v>-682.5</v>
      </c>
      <c r="C26" s="96">
        <f t="shared" si="40"/>
        <v>0</v>
      </c>
      <c r="D26" s="96">
        <f t="shared" si="40"/>
        <v>0</v>
      </c>
      <c r="E26" s="96">
        <f t="shared" ref="E26:I26" si="41">F9-F8</f>
        <v>0</v>
      </c>
      <c r="F26" s="96">
        <f t="shared" si="41"/>
        <v>-14250</v>
      </c>
      <c r="G26" s="96">
        <f t="shared" si="41"/>
        <v>0</v>
      </c>
      <c r="H26" s="96">
        <f t="shared" si="41"/>
        <v>0</v>
      </c>
      <c r="I26" s="96">
        <f t="shared" si="41"/>
        <v>-3266</v>
      </c>
      <c r="J26" s="96">
        <f t="shared" si="42"/>
        <v>0</v>
      </c>
      <c r="K26" s="96">
        <f t="shared" ref="K26:K30" si="45">L9</f>
        <v>3030</v>
      </c>
      <c r="L26" s="98">
        <v>0.0</v>
      </c>
      <c r="N26" s="100" t="s">
        <v>54</v>
      </c>
      <c r="O26" s="32" t="str">
        <f>J$31</f>
        <v>#REF!</v>
      </c>
      <c r="P26" s="32" t="str">
        <f>((J$31-J$32)/J$32)+100%</f>
        <v>#REF!</v>
      </c>
      <c r="Q26" s="96" t="str">
        <f>(J$32+(J$32*P26))-J$32</f>
        <v>#REF!</v>
      </c>
    </row>
    <row r="27">
      <c r="A27" s="75" t="s">
        <v>26</v>
      </c>
      <c r="B27" s="96">
        <f t="shared" ref="B27:D27" si="43">B10-B9</f>
        <v>4597.5</v>
      </c>
      <c r="C27" s="96">
        <f t="shared" si="43"/>
        <v>0</v>
      </c>
      <c r="D27" s="96">
        <f t="shared" si="43"/>
        <v>0</v>
      </c>
      <c r="E27" s="96">
        <f t="shared" ref="E27:I27" si="44">F10-F9</f>
        <v>0</v>
      </c>
      <c r="F27" s="96">
        <f t="shared" si="44"/>
        <v>40250</v>
      </c>
      <c r="G27" s="96">
        <f t="shared" si="44"/>
        <v>0</v>
      </c>
      <c r="H27" s="96">
        <f t="shared" si="44"/>
        <v>0</v>
      </c>
      <c r="I27" s="96">
        <f t="shared" si="44"/>
        <v>6681.5</v>
      </c>
      <c r="J27" s="96">
        <f t="shared" si="42"/>
        <v>0</v>
      </c>
      <c r="K27" s="96">
        <f t="shared" si="45"/>
        <v>4850</v>
      </c>
      <c r="L27" s="98">
        <v>0.0</v>
      </c>
      <c r="N27" s="100" t="s">
        <v>128</v>
      </c>
      <c r="O27" s="32">
        <f>K$31</f>
        <v>115980</v>
      </c>
      <c r="P27" s="32" t="str">
        <f>SI.ERROR(((K$31-K$32)/K$32)+100%,0)</f>
        <v>#ERROR!</v>
      </c>
      <c r="Q27" s="96" t="str">
        <f>(K$32+(K$32*P27))-K$32</f>
        <v>#ERROR!</v>
      </c>
    </row>
    <row r="28">
      <c r="A28" s="75" t="s">
        <v>27</v>
      </c>
      <c r="B28" s="96">
        <f t="shared" ref="B28:D28" si="46">B11-B10</f>
        <v>-15150</v>
      </c>
      <c r="C28" s="96">
        <f t="shared" si="46"/>
        <v>0</v>
      </c>
      <c r="D28" s="96">
        <f t="shared" si="46"/>
        <v>0</v>
      </c>
      <c r="E28" s="96">
        <f t="shared" ref="E28:I28" si="47">F11-F10</f>
        <v>0</v>
      </c>
      <c r="F28" s="96">
        <f t="shared" si="47"/>
        <v>-107900</v>
      </c>
      <c r="G28" s="96">
        <f t="shared" si="47"/>
        <v>0</v>
      </c>
      <c r="H28" s="96">
        <f t="shared" si="47"/>
        <v>0</v>
      </c>
      <c r="I28" s="96">
        <f t="shared" si="47"/>
        <v>-18365.5</v>
      </c>
      <c r="J28" s="96">
        <f t="shared" si="42"/>
        <v>0</v>
      </c>
      <c r="K28" s="96">
        <f t="shared" si="45"/>
        <v>0</v>
      </c>
      <c r="L28" s="98">
        <v>0.0</v>
      </c>
      <c r="N28" s="100" t="s">
        <v>50</v>
      </c>
      <c r="O28" s="32">
        <f>L$31</f>
        <v>-5000</v>
      </c>
      <c r="P28" s="32">
        <f>IFERROR(((L$31-L$32)/L$32)+100%,0)</f>
        <v>0</v>
      </c>
      <c r="Q28" s="96">
        <f>(L$32+(L$32*P28))-L$32</f>
        <v>0</v>
      </c>
    </row>
    <row r="29">
      <c r="A29" s="75" t="s">
        <v>28</v>
      </c>
      <c r="B29" s="96">
        <f t="shared" ref="B29:D29" si="48">B12-B11</f>
        <v>0</v>
      </c>
      <c r="C29" s="96">
        <f t="shared" si="48"/>
        <v>0</v>
      </c>
      <c r="D29" s="96">
        <f t="shared" si="48"/>
        <v>0</v>
      </c>
      <c r="E29" s="96">
        <f t="shared" ref="E29:I29" si="49">F12-F11</f>
        <v>0</v>
      </c>
      <c r="F29" s="96">
        <f t="shared" si="49"/>
        <v>0</v>
      </c>
      <c r="G29" s="96">
        <f t="shared" si="49"/>
        <v>0</v>
      </c>
      <c r="H29" s="96">
        <f t="shared" si="49"/>
        <v>0</v>
      </c>
      <c r="I29" s="96">
        <f t="shared" si="49"/>
        <v>0</v>
      </c>
      <c r="J29" s="96">
        <f t="shared" si="42"/>
        <v>0</v>
      </c>
      <c r="K29" s="96">
        <f t="shared" si="45"/>
        <v>0</v>
      </c>
      <c r="L29" s="98">
        <v>0.0</v>
      </c>
      <c r="N29" s="101" t="s">
        <v>129</v>
      </c>
      <c r="O29" s="102"/>
      <c r="P29" s="32">
        <f>Global!P2</f>
        <v>0.1572</v>
      </c>
      <c r="Q29" s="51"/>
    </row>
    <row r="30">
      <c r="A30" s="75" t="s">
        <v>29</v>
      </c>
      <c r="B30" s="96">
        <f t="shared" ref="B30:D30" si="50">B13-B12</f>
        <v>0</v>
      </c>
      <c r="C30" s="96">
        <f t="shared" si="50"/>
        <v>0</v>
      </c>
      <c r="D30" s="96">
        <f t="shared" si="50"/>
        <v>0</v>
      </c>
      <c r="E30" s="96">
        <f t="shared" ref="E30:I30" si="51">F13-F12</f>
        <v>0</v>
      </c>
      <c r="F30" s="96">
        <f t="shared" si="51"/>
        <v>0</v>
      </c>
      <c r="G30" s="96">
        <f t="shared" si="51"/>
        <v>0</v>
      </c>
      <c r="H30" s="96">
        <f t="shared" si="51"/>
        <v>0</v>
      </c>
      <c r="I30" s="96">
        <f t="shared" si="51"/>
        <v>0</v>
      </c>
      <c r="J30" s="96">
        <f t="shared" si="42"/>
        <v>0</v>
      </c>
      <c r="K30" s="96">
        <f t="shared" si="45"/>
        <v>0</v>
      </c>
      <c r="L30" s="98">
        <v>0.0</v>
      </c>
    </row>
    <row r="31">
      <c r="A31" s="103" t="s">
        <v>10</v>
      </c>
      <c r="B31" s="103" t="str">
        <f t="shared" ref="B31:L31" si="52">SUM(B19:B30)</f>
        <v>#REF!</v>
      </c>
      <c r="C31" s="103" t="str">
        <f t="shared" si="52"/>
        <v>#REF!</v>
      </c>
      <c r="D31" s="103" t="str">
        <f t="shared" si="52"/>
        <v>#REF!</v>
      </c>
      <c r="E31" s="103" t="str">
        <f t="shared" si="52"/>
        <v>#REF!</v>
      </c>
      <c r="F31" s="103" t="str">
        <f t="shared" si="52"/>
        <v>#REF!</v>
      </c>
      <c r="G31" s="103" t="str">
        <f t="shared" si="52"/>
        <v>#REF!</v>
      </c>
      <c r="H31" s="103" t="str">
        <f t="shared" si="52"/>
        <v>#REF!</v>
      </c>
      <c r="I31" s="103" t="str">
        <f t="shared" si="52"/>
        <v>#REF!</v>
      </c>
      <c r="J31" s="103" t="str">
        <f t="shared" si="52"/>
        <v>#REF!</v>
      </c>
      <c r="K31" s="103">
        <f t="shared" si="52"/>
        <v>115980</v>
      </c>
      <c r="L31" s="103">
        <f t="shared" si="52"/>
        <v>-5000</v>
      </c>
    </row>
    <row r="32">
      <c r="A32" s="104" t="s">
        <v>164</v>
      </c>
      <c r="B32" s="103" t="str">
        <f>'Dic2023'!$E2</f>
        <v>#REF!</v>
      </c>
      <c r="C32" s="103" t="str">
        <f t="shared" ref="C32:D32" si="53">'Dic2023'!$E4</f>
        <v>#REF!</v>
      </c>
      <c r="D32" s="103" t="str">
        <f t="shared" si="53"/>
        <v>#REF!</v>
      </c>
      <c r="E32" s="103" t="str">
        <f>'Dic2023'!$E5</f>
        <v>#REF!</v>
      </c>
      <c r="F32" s="103" t="str">
        <f>'Dic2023'!$E6</f>
        <v>#REF!</v>
      </c>
      <c r="G32" s="103" t="str">
        <f>'Dic2023'!$E7</f>
        <v>#REF!</v>
      </c>
      <c r="H32" s="103" t="str">
        <f>'Dic2023'!$E8</f>
        <v>#REF!</v>
      </c>
      <c r="I32" s="103" t="str">
        <f>'Dic2023'!$E9</f>
        <v>#REF!</v>
      </c>
      <c r="J32" s="103" t="str">
        <f>'Dic2023'!$E10</f>
        <v>#REF!</v>
      </c>
      <c r="K32" s="103">
        <v>0.0</v>
      </c>
      <c r="L32" s="103">
        <v>0.0</v>
      </c>
    </row>
  </sheetData>
  <mergeCells count="5">
    <mergeCell ref="A17:L17"/>
    <mergeCell ref="N17:O17"/>
    <mergeCell ref="AC20:AI20"/>
    <mergeCell ref="AC21:AI21"/>
    <mergeCell ref="N29:O29"/>
  </mergeCells>
  <conditionalFormatting sqref="AE2:AN12 AO2:AR10">
    <cfRule type="cellIs" dxfId="4" priority="1" operator="lessThan">
      <formula>0</formula>
    </cfRule>
  </conditionalFormatting>
  <conditionalFormatting sqref="AE2:AN12 AO2:AR10">
    <cfRule type="cellIs" dxfId="5" priority="2" operator="greaterThan">
      <formula>0</formula>
    </cfRule>
  </conditionalFormatting>
  <conditionalFormatting sqref="AG1:AN12 AO1:AR10 AE2:AF12">
    <cfRule type="cellIs" dxfId="6" priority="3" operator="equal">
      <formula>0</formula>
    </cfRule>
  </conditionalFormatting>
  <conditionalFormatting sqref="AD17:AF17">
    <cfRule type="expression" dxfId="7" priority="4">
      <formula>AD17&gt;AK17</formula>
    </cfRule>
  </conditionalFormatting>
  <conditionalFormatting sqref="AD17:AF17">
    <cfRule type="expression" dxfId="0" priority="5">
      <formula>AD17&lt;=AK17</formula>
    </cfRule>
  </conditionalFormatting>
  <conditionalFormatting sqref="O2:Z13 O18:O28 P18:P29">
    <cfRule type="cellIs" dxfId="0" priority="6" operator="greaterThan">
      <formula>0</formula>
    </cfRule>
  </conditionalFormatting>
  <conditionalFormatting sqref="O2:Z13 O18:O28 P18:P29">
    <cfRule type="cellIs" dxfId="1" priority="7" operator="lessThan">
      <formula>0</formula>
    </cfRule>
  </conditionalFormatting>
  <conditionalFormatting sqref="O2:Z13 O18:O28 P18:P29">
    <cfRule type="cellIs" dxfId="6" priority="8" operator="equal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9.38"/>
    <col customWidth="1" min="4" max="4" width="8.38"/>
    <col customWidth="1" min="5" max="5" width="9.38"/>
    <col customWidth="1" min="12" max="13" width="7.25"/>
    <col customWidth="1" min="14" max="14" width="6.63"/>
    <col customWidth="1" min="15" max="15" width="8.13"/>
    <col customWidth="1" min="20" max="21" width="16.13"/>
    <col customWidth="1" min="22" max="22" width="6.25"/>
    <col customWidth="1" min="23" max="24" width="16.13"/>
    <col customWidth="1" min="26" max="26" width="16.5"/>
    <col customWidth="1" min="28" max="28" width="16.0"/>
    <col customWidth="1" min="29" max="29" width="15.5"/>
    <col customWidth="1" min="30" max="30" width="17.5"/>
    <col customWidth="1" min="31" max="32" width="15.5"/>
  </cols>
  <sheetData>
    <row r="1">
      <c r="A1" s="75" t="s">
        <v>0</v>
      </c>
      <c r="B1" s="76" t="s">
        <v>58</v>
      </c>
      <c r="C1" s="76" t="s">
        <v>62</v>
      </c>
      <c r="D1" s="76" t="s">
        <v>64</v>
      </c>
      <c r="E1" s="76" t="s">
        <v>66</v>
      </c>
      <c r="F1" s="76" t="s">
        <v>68</v>
      </c>
      <c r="G1" s="76" t="s">
        <v>69</v>
      </c>
      <c r="H1" s="76" t="s">
        <v>165</v>
      </c>
      <c r="I1" s="76" t="s">
        <v>63</v>
      </c>
      <c r="K1" s="75" t="s">
        <v>0</v>
      </c>
      <c r="L1" s="76" t="s">
        <v>58</v>
      </c>
      <c r="M1" s="76" t="s">
        <v>62</v>
      </c>
      <c r="N1" s="76" t="s">
        <v>64</v>
      </c>
      <c r="O1" s="76" t="s">
        <v>66</v>
      </c>
      <c r="P1" s="76" t="s">
        <v>68</v>
      </c>
      <c r="Q1" s="76" t="s">
        <v>69</v>
      </c>
      <c r="R1" s="76" t="s">
        <v>165</v>
      </c>
      <c r="S1" s="76" t="s">
        <v>129</v>
      </c>
      <c r="T1" s="40"/>
      <c r="U1" s="105" t="s">
        <v>140</v>
      </c>
      <c r="V1" s="73"/>
      <c r="W1" s="77">
        <v>45261.0</v>
      </c>
      <c r="X1" s="26" t="s">
        <v>131</v>
      </c>
      <c r="Y1" s="26" t="s">
        <v>132</v>
      </c>
      <c r="Z1" s="26" t="s">
        <v>133</v>
      </c>
      <c r="AA1" s="26" t="s">
        <v>134</v>
      </c>
      <c r="AB1" s="26" t="s">
        <v>135</v>
      </c>
      <c r="AC1" s="26" t="s">
        <v>136</v>
      </c>
      <c r="AD1" s="78" t="s">
        <v>137</v>
      </c>
      <c r="AE1" s="26" t="s">
        <v>138</v>
      </c>
    </row>
    <row r="2">
      <c r="A2" s="75" t="s">
        <v>16</v>
      </c>
      <c r="B2" s="60">
        <f t="shared" ref="B2:B13" si="1">IFERROR(VLOOKUP($B$1,INDIRECT(A2&amp;"!$A$2:$J$101"),8,FALSE),0)</f>
        <v>86175</v>
      </c>
      <c r="C2" s="60">
        <f t="shared" ref="C2:C13" si="2">IFERROR(VLOOKUP($C$1,INDIRECT(A2&amp;"!$A$2:$J$101"),8,FALSE),0)</f>
        <v>95250</v>
      </c>
      <c r="D2" s="60">
        <f t="shared" ref="D2:D11" si="3">IFERROR(VLOOKUP($G$1,INDIRECT(A2&amp;"!$A$2:$J$101"),8,FALSE),0)</f>
        <v>9375</v>
      </c>
      <c r="E2" s="60">
        <f t="shared" ref="E2:E13" si="4">IFERROR(VLOOKUP($E$1,INDIRECT(A2&amp;"!$A$2:$J$101"),8,FALSE),0)</f>
        <v>16425</v>
      </c>
      <c r="F2" s="60">
        <f t="shared" ref="F2:F13" si="5">IFERROR(VLOOKUP($F$1,INDIRECT(A2&amp;"!$A$2:$J$101"),8,FALSE),0)</f>
        <v>72300</v>
      </c>
      <c r="G2" s="60">
        <f t="shared" ref="G2:G13" si="6">IFERROR(VLOOKUP($G$1,INDIRECT(A2&amp;"!$A$2:$J$101"),8,FALSE),0)</f>
        <v>9375</v>
      </c>
      <c r="H2" s="60">
        <f t="shared" ref="H2:H13" si="7">IFERROR(VLOOKUP($H$1,INDIRECT(A2&amp;"!$A$2:$J$101"),8,FALSE),0)</f>
        <v>0</v>
      </c>
      <c r="I2" s="60">
        <f t="shared" ref="I2:I11" si="8">IFERROR(VLOOKUP($I$1,INDIRECT(A2&amp;"!$A$2:$J$101"),8,FALSE),0)</f>
        <v>20250</v>
      </c>
      <c r="K2" s="75" t="s">
        <v>16</v>
      </c>
      <c r="L2" s="32">
        <f t="shared" ref="L2:L13" si="9">IFERROR(VLOOKUP($L$1,INDIRECT(A2&amp;"!$A$2:$J$101"),9,FALSE),0)</f>
        <v>900</v>
      </c>
      <c r="M2" s="32">
        <f t="shared" ref="M2:M13" si="10">IFERROR(VLOOKUP($M$1,INDIRECT(A2&amp;"!$A$2:$J$101"),9,FALSE),0)</f>
        <v>-4625</v>
      </c>
      <c r="N2" s="32">
        <f t="shared" ref="N2:N13" si="11">IFERROR(VLOOKUP($N$1,INDIRECT(A2&amp;"!$A$2:$J$101"),9,FALSE),0)</f>
        <v>350</v>
      </c>
      <c r="O2" s="32">
        <f t="shared" ref="O2:O13" si="12">IFERROR(VLOOKUP($O$1,INDIRECT(A2&amp;"!$A$2:$J$101"),9,FALSE),0)</f>
        <v>-1350</v>
      </c>
      <c r="P2" s="32">
        <f t="shared" ref="P2:P13" si="13">IFERROR(VLOOKUP($P$1,INDIRECT(A2&amp;"!$A$2:$J$101"),9,FALSE),0)</f>
        <v>650</v>
      </c>
      <c r="Q2" s="32">
        <f t="shared" ref="Q2:Q13" si="14">IFERROR(VLOOKUP($Q$1,INDIRECT(A2&amp;"!$A$2:$J$101"),9,FALSE),0)</f>
        <v>300</v>
      </c>
      <c r="R2" s="32">
        <f t="shared" ref="R2:R13" si="15">IFERROR(VLOOKUP($R$1,INDIRECT(A2&amp;"!$A$2:$J$101"),9,FALSE),0)</f>
        <v>0</v>
      </c>
      <c r="S2" s="32">
        <f>Global!M2</f>
        <v>0.022</v>
      </c>
      <c r="T2" s="40"/>
      <c r="U2" s="76" t="s">
        <v>58</v>
      </c>
      <c r="V2" s="106">
        <f>L15</f>
        <v>18270</v>
      </c>
      <c r="W2" s="79" t="str">
        <f t="shared" ref="W2:W7" si="16">'Dic2023'!E16</f>
        <v>#REF!</v>
      </c>
      <c r="X2" s="60">
        <f>B$4</f>
        <v>74250</v>
      </c>
      <c r="Y2" s="32">
        <f t="shared" ref="Y2:Y7" si="17">IFERROR(((X2-W2)/W2),0)</f>
        <v>0</v>
      </c>
      <c r="Z2" s="60">
        <f>B$7</f>
        <v>85500</v>
      </c>
      <c r="AA2" s="32">
        <f t="shared" ref="AA2:AA7" si="18">IFERROR(((Z2-X2)/X2),0)</f>
        <v>0.1515151515</v>
      </c>
      <c r="AB2" s="60">
        <f>B$10</f>
        <v>110610</v>
      </c>
      <c r="AC2" s="32">
        <f t="shared" ref="AC2:AC7" si="19">IFERROR(((AB2-AA2)/AA2),0)</f>
        <v>730025</v>
      </c>
      <c r="AD2" s="60">
        <f>B$13</f>
        <v>0</v>
      </c>
      <c r="AE2" s="32">
        <f t="shared" ref="AE2:AE7" si="20">IFERROR(((AD2-AA2)/AA2),0)</f>
        <v>-1</v>
      </c>
    </row>
    <row r="3">
      <c r="A3" s="75" t="s">
        <v>17</v>
      </c>
      <c r="B3" s="60">
        <f t="shared" si="1"/>
        <v>78975</v>
      </c>
      <c r="C3" s="60">
        <f t="shared" si="2"/>
        <v>91000</v>
      </c>
      <c r="D3" s="60">
        <f t="shared" si="3"/>
        <v>10125</v>
      </c>
      <c r="E3" s="60">
        <f t="shared" si="4"/>
        <v>16300</v>
      </c>
      <c r="F3" s="60">
        <f t="shared" si="5"/>
        <v>71250</v>
      </c>
      <c r="G3" s="60">
        <f t="shared" si="6"/>
        <v>10125</v>
      </c>
      <c r="H3" s="60">
        <f t="shared" si="7"/>
        <v>0</v>
      </c>
      <c r="I3" s="60">
        <f t="shared" si="8"/>
        <v>20400</v>
      </c>
      <c r="K3" s="75" t="s">
        <v>17</v>
      </c>
      <c r="L3" s="32">
        <f t="shared" si="9"/>
        <v>-6300</v>
      </c>
      <c r="M3" s="32">
        <f t="shared" si="10"/>
        <v>-8875</v>
      </c>
      <c r="N3" s="32">
        <f t="shared" si="11"/>
        <v>2225</v>
      </c>
      <c r="O3" s="32">
        <f t="shared" si="12"/>
        <v>-1475</v>
      </c>
      <c r="P3" s="32">
        <f t="shared" si="13"/>
        <v>-400</v>
      </c>
      <c r="Q3" s="32">
        <f t="shared" si="14"/>
        <v>1050</v>
      </c>
      <c r="R3" s="32">
        <f t="shared" si="15"/>
        <v>0</v>
      </c>
      <c r="S3" s="32">
        <f>Global!M3</f>
        <v>0.024</v>
      </c>
      <c r="T3" s="40"/>
      <c r="U3" s="76" t="s">
        <v>62</v>
      </c>
      <c r="V3" s="107">
        <f>M15</f>
        <v>102625</v>
      </c>
      <c r="W3" s="79" t="str">
        <f t="shared" si="16"/>
        <v>#REF!</v>
      </c>
      <c r="X3" s="60">
        <f>C$4</f>
        <v>86000</v>
      </c>
      <c r="Y3" s="32">
        <f t="shared" si="17"/>
        <v>0</v>
      </c>
      <c r="Z3" s="60">
        <f>C$7</f>
        <v>92500</v>
      </c>
      <c r="AA3" s="32">
        <f t="shared" si="18"/>
        <v>0.07558139535</v>
      </c>
      <c r="AB3" s="60">
        <f>C$10</f>
        <v>210500</v>
      </c>
      <c r="AC3" s="32">
        <f t="shared" si="19"/>
        <v>2785075.923</v>
      </c>
      <c r="AD3" s="60">
        <f>C$13</f>
        <v>0</v>
      </c>
      <c r="AE3" s="32">
        <f t="shared" si="20"/>
        <v>-1</v>
      </c>
    </row>
    <row r="4">
      <c r="A4" s="75" t="s">
        <v>18</v>
      </c>
      <c r="B4" s="60">
        <f t="shared" si="1"/>
        <v>74250</v>
      </c>
      <c r="C4" s="60">
        <f t="shared" si="2"/>
        <v>86000</v>
      </c>
      <c r="D4" s="60">
        <f t="shared" si="3"/>
        <v>0</v>
      </c>
      <c r="E4" s="60">
        <f t="shared" si="4"/>
        <v>16225</v>
      </c>
      <c r="F4" s="60">
        <f t="shared" si="5"/>
        <v>68500</v>
      </c>
      <c r="G4" s="60">
        <f t="shared" si="6"/>
        <v>0</v>
      </c>
      <c r="H4" s="60">
        <f t="shared" si="7"/>
        <v>0</v>
      </c>
      <c r="I4" s="60">
        <f t="shared" si="8"/>
        <v>20175</v>
      </c>
      <c r="K4" s="75" t="s">
        <v>18</v>
      </c>
      <c r="L4" s="32">
        <f t="shared" si="9"/>
        <v>-11025</v>
      </c>
      <c r="M4" s="32">
        <f t="shared" si="10"/>
        <v>-13875</v>
      </c>
      <c r="N4" s="32">
        <f t="shared" si="11"/>
        <v>3500</v>
      </c>
      <c r="O4" s="32">
        <f t="shared" si="12"/>
        <v>-1550</v>
      </c>
      <c r="P4" s="32">
        <f t="shared" si="13"/>
        <v>-3150</v>
      </c>
      <c r="Q4" s="32">
        <f t="shared" si="14"/>
        <v>0</v>
      </c>
      <c r="R4" s="32">
        <f t="shared" si="15"/>
        <v>0</v>
      </c>
      <c r="S4" s="32">
        <f>Global!M4</f>
        <v>0.03</v>
      </c>
      <c r="T4" s="40"/>
      <c r="U4" s="76" t="s">
        <v>64</v>
      </c>
      <c r="V4" s="107">
        <f>N15</f>
        <v>27545</v>
      </c>
      <c r="W4" s="79" t="str">
        <f t="shared" si="16"/>
        <v>#REF!</v>
      </c>
      <c r="X4" s="60">
        <f>D$4</f>
        <v>0</v>
      </c>
      <c r="Y4" s="32">
        <f t="shared" si="17"/>
        <v>0</v>
      </c>
      <c r="Z4" s="60">
        <f>D$7</f>
        <v>0</v>
      </c>
      <c r="AA4" s="32">
        <f t="shared" si="18"/>
        <v>0</v>
      </c>
      <c r="AB4" s="60">
        <f>D$10</f>
        <v>0</v>
      </c>
      <c r="AC4" s="32">
        <f t="shared" si="19"/>
        <v>0</v>
      </c>
      <c r="AD4" s="60">
        <f>D$13</f>
        <v>0</v>
      </c>
      <c r="AE4" s="32">
        <f t="shared" si="20"/>
        <v>0</v>
      </c>
    </row>
    <row r="5">
      <c r="A5" s="75" t="s">
        <v>20</v>
      </c>
      <c r="B5" s="60">
        <f t="shared" si="1"/>
        <v>76500</v>
      </c>
      <c r="C5" s="60">
        <f t="shared" si="2"/>
        <v>79375</v>
      </c>
      <c r="D5" s="60">
        <f t="shared" si="3"/>
        <v>0</v>
      </c>
      <c r="E5" s="60">
        <f t="shared" si="4"/>
        <v>17275</v>
      </c>
      <c r="F5" s="60">
        <f t="shared" si="5"/>
        <v>67450</v>
      </c>
      <c r="G5" s="60">
        <f t="shared" si="6"/>
        <v>0</v>
      </c>
      <c r="H5" s="60">
        <f t="shared" si="7"/>
        <v>0</v>
      </c>
      <c r="I5" s="60">
        <f t="shared" si="8"/>
        <v>19500</v>
      </c>
      <c r="K5" s="75" t="s">
        <v>20</v>
      </c>
      <c r="L5" s="32">
        <f t="shared" si="9"/>
        <v>-8775</v>
      </c>
      <c r="M5" s="32">
        <f t="shared" si="10"/>
        <v>-20500</v>
      </c>
      <c r="N5" s="32">
        <f t="shared" si="11"/>
        <v>1050</v>
      </c>
      <c r="O5" s="32">
        <f t="shared" si="12"/>
        <v>-500</v>
      </c>
      <c r="P5" s="32">
        <f t="shared" si="13"/>
        <v>-4200</v>
      </c>
      <c r="Q5" s="32">
        <f t="shared" si="14"/>
        <v>0</v>
      </c>
      <c r="R5" s="32">
        <f t="shared" si="15"/>
        <v>0</v>
      </c>
      <c r="S5" s="32">
        <f>Global!M5</f>
        <v>0.028</v>
      </c>
      <c r="T5" s="40"/>
      <c r="U5" s="76" t="s">
        <v>66</v>
      </c>
      <c r="V5" s="107">
        <f>O15</f>
        <v>18134</v>
      </c>
      <c r="W5" s="79" t="str">
        <f t="shared" si="16"/>
        <v>#REF!</v>
      </c>
      <c r="X5" s="60">
        <f>E$4</f>
        <v>16225</v>
      </c>
      <c r="Y5" s="32">
        <f t="shared" si="17"/>
        <v>0</v>
      </c>
      <c r="Z5" s="60">
        <f>E$7</f>
        <v>20259</v>
      </c>
      <c r="AA5" s="32">
        <f t="shared" si="18"/>
        <v>0.2486286595</v>
      </c>
      <c r="AB5" s="60">
        <f>E$10</f>
        <v>24830</v>
      </c>
      <c r="AC5" s="32">
        <f t="shared" si="19"/>
        <v>99866.81111</v>
      </c>
      <c r="AD5" s="60">
        <f>E$13</f>
        <v>0</v>
      </c>
      <c r="AE5" s="32">
        <f t="shared" si="20"/>
        <v>-1</v>
      </c>
    </row>
    <row r="6">
      <c r="A6" s="75" t="s">
        <v>22</v>
      </c>
      <c r="B6" s="60">
        <f t="shared" si="1"/>
        <v>77400</v>
      </c>
      <c r="C6" s="60">
        <f t="shared" si="2"/>
        <v>87250</v>
      </c>
      <c r="D6" s="60">
        <f t="shared" si="3"/>
        <v>0</v>
      </c>
      <c r="E6" s="60">
        <f t="shared" si="4"/>
        <v>18400</v>
      </c>
      <c r="F6" s="60">
        <f t="shared" si="5"/>
        <v>70850</v>
      </c>
      <c r="G6" s="60">
        <f t="shared" si="6"/>
        <v>0</v>
      </c>
      <c r="H6" s="60">
        <f t="shared" si="7"/>
        <v>0</v>
      </c>
      <c r="I6" s="60">
        <f t="shared" si="8"/>
        <v>20950</v>
      </c>
      <c r="K6" s="75" t="s">
        <v>22</v>
      </c>
      <c r="L6" s="32">
        <f t="shared" si="9"/>
        <v>-7875</v>
      </c>
      <c r="M6" s="32">
        <f t="shared" si="10"/>
        <v>-12625</v>
      </c>
      <c r="N6" s="32">
        <f t="shared" si="11"/>
        <v>2225</v>
      </c>
      <c r="O6" s="32">
        <f t="shared" si="12"/>
        <v>625</v>
      </c>
      <c r="P6" s="32">
        <f t="shared" si="13"/>
        <v>-800</v>
      </c>
      <c r="Q6" s="32">
        <f t="shared" si="14"/>
        <v>0</v>
      </c>
      <c r="R6" s="32">
        <f t="shared" si="15"/>
        <v>0</v>
      </c>
      <c r="S6" s="32">
        <f>Global!M6</f>
        <v>0.0172</v>
      </c>
      <c r="U6" s="76" t="s">
        <v>68</v>
      </c>
      <c r="V6" s="107">
        <f>P15</f>
        <v>64240</v>
      </c>
      <c r="W6" s="79" t="str">
        <f t="shared" si="16"/>
        <v>#REF!</v>
      </c>
      <c r="X6" s="60">
        <f>F$4</f>
        <v>68500</v>
      </c>
      <c r="Y6" s="32">
        <f t="shared" si="17"/>
        <v>0</v>
      </c>
      <c r="Z6" s="60">
        <f>F$7</f>
        <v>75600</v>
      </c>
      <c r="AA6" s="32">
        <f t="shared" si="18"/>
        <v>0.103649635</v>
      </c>
      <c r="AB6" s="60">
        <f>F$10</f>
        <v>104100</v>
      </c>
      <c r="AC6" s="32">
        <f t="shared" si="19"/>
        <v>1004344.07</v>
      </c>
      <c r="AD6" s="60">
        <f>F$13</f>
        <v>0</v>
      </c>
      <c r="AE6" s="32">
        <f t="shared" si="20"/>
        <v>-1</v>
      </c>
    </row>
    <row r="7">
      <c r="A7" s="75" t="s">
        <v>23</v>
      </c>
      <c r="B7" s="60">
        <f t="shared" si="1"/>
        <v>85500</v>
      </c>
      <c r="C7" s="60">
        <f t="shared" si="2"/>
        <v>92500</v>
      </c>
      <c r="D7" s="60">
        <f t="shared" si="3"/>
        <v>0</v>
      </c>
      <c r="E7" s="60">
        <f t="shared" si="4"/>
        <v>20259</v>
      </c>
      <c r="F7" s="60">
        <f t="shared" si="5"/>
        <v>75600</v>
      </c>
      <c r="G7" s="60">
        <f t="shared" si="6"/>
        <v>0</v>
      </c>
      <c r="H7" s="60">
        <f t="shared" si="7"/>
        <v>0</v>
      </c>
      <c r="I7" s="60">
        <f t="shared" si="8"/>
        <v>23800</v>
      </c>
      <c r="K7" s="75" t="s">
        <v>23</v>
      </c>
      <c r="L7" s="32">
        <f t="shared" si="9"/>
        <v>225</v>
      </c>
      <c r="M7" s="32">
        <f t="shared" si="10"/>
        <v>-7375</v>
      </c>
      <c r="N7" s="32">
        <f t="shared" si="11"/>
        <v>2750</v>
      </c>
      <c r="O7" s="32">
        <f t="shared" si="12"/>
        <v>2484</v>
      </c>
      <c r="P7" s="32">
        <f t="shared" si="13"/>
        <v>3950</v>
      </c>
      <c r="Q7" s="32">
        <f t="shared" si="14"/>
        <v>0</v>
      </c>
      <c r="R7" s="32">
        <f t="shared" si="15"/>
        <v>0</v>
      </c>
      <c r="S7" s="32">
        <f>Global!M7</f>
        <v>0.016</v>
      </c>
      <c r="U7" s="76" t="s">
        <v>69</v>
      </c>
      <c r="V7" s="107">
        <f>Q15</f>
        <v>1350</v>
      </c>
      <c r="W7" s="79" t="str">
        <f t="shared" si="16"/>
        <v>#REF!</v>
      </c>
      <c r="X7" s="60">
        <f>G$4</f>
        <v>0</v>
      </c>
      <c r="Y7" s="32">
        <f t="shared" si="17"/>
        <v>0</v>
      </c>
      <c r="Z7" s="60">
        <f>G$7</f>
        <v>0</v>
      </c>
      <c r="AA7" s="32">
        <f t="shared" si="18"/>
        <v>0</v>
      </c>
      <c r="AB7" s="60">
        <f>G$10</f>
        <v>0</v>
      </c>
      <c r="AC7" s="32">
        <f t="shared" si="19"/>
        <v>0</v>
      </c>
      <c r="AD7" s="60">
        <f>G$13</f>
        <v>0</v>
      </c>
      <c r="AE7" s="32">
        <f t="shared" si="20"/>
        <v>0</v>
      </c>
    </row>
    <row r="8">
      <c r="A8" s="75" t="s">
        <v>24</v>
      </c>
      <c r="B8" s="60">
        <f t="shared" si="1"/>
        <v>90675</v>
      </c>
      <c r="C8" s="60">
        <f t="shared" si="2"/>
        <v>113875</v>
      </c>
      <c r="D8" s="60">
        <f t="shared" si="3"/>
        <v>0</v>
      </c>
      <c r="E8" s="60">
        <f t="shared" si="4"/>
        <v>24375</v>
      </c>
      <c r="F8" s="60">
        <f t="shared" si="5"/>
        <v>85800</v>
      </c>
      <c r="G8" s="60">
        <f t="shared" si="6"/>
        <v>0</v>
      </c>
      <c r="H8" s="60">
        <f t="shared" si="7"/>
        <v>0</v>
      </c>
      <c r="I8" s="60">
        <f t="shared" si="8"/>
        <v>22825</v>
      </c>
      <c r="K8" s="75" t="s">
        <v>24</v>
      </c>
      <c r="L8" s="32">
        <f t="shared" si="9"/>
        <v>5400</v>
      </c>
      <c r="M8" s="32">
        <f t="shared" si="10"/>
        <v>14000</v>
      </c>
      <c r="N8" s="32">
        <f t="shared" si="11"/>
        <v>3725</v>
      </c>
      <c r="O8" s="32">
        <f t="shared" si="12"/>
        <v>6600</v>
      </c>
      <c r="P8" s="32">
        <f t="shared" si="13"/>
        <v>14150</v>
      </c>
      <c r="Q8" s="32">
        <f t="shared" si="14"/>
        <v>0</v>
      </c>
      <c r="R8" s="32">
        <f t="shared" si="15"/>
        <v>0</v>
      </c>
      <c r="S8" s="32">
        <f>Global!M8</f>
        <v>0.02</v>
      </c>
      <c r="U8" s="76" t="s">
        <v>129</v>
      </c>
      <c r="V8" s="107">
        <f>S15</f>
        <v>0.1572</v>
      </c>
    </row>
    <row r="9">
      <c r="A9" s="75" t="s">
        <v>25</v>
      </c>
      <c r="B9" s="60">
        <f t="shared" si="1"/>
        <v>105660</v>
      </c>
      <c r="C9" s="60">
        <f t="shared" si="2"/>
        <v>145750</v>
      </c>
      <c r="D9" s="60">
        <f t="shared" si="3"/>
        <v>0</v>
      </c>
      <c r="E9" s="60">
        <f t="shared" si="4"/>
        <v>24020</v>
      </c>
      <c r="F9" s="60">
        <f t="shared" si="5"/>
        <v>93240</v>
      </c>
      <c r="G9" s="60">
        <f t="shared" si="6"/>
        <v>0</v>
      </c>
      <c r="H9" s="60">
        <f t="shared" si="7"/>
        <v>0</v>
      </c>
      <c r="I9" s="60">
        <f t="shared" si="8"/>
        <v>24560</v>
      </c>
      <c r="K9" s="75" t="s">
        <v>25</v>
      </c>
      <c r="L9" s="32">
        <f t="shared" si="9"/>
        <v>20385</v>
      </c>
      <c r="M9" s="32">
        <f t="shared" si="10"/>
        <v>45875</v>
      </c>
      <c r="N9" s="32">
        <f t="shared" si="11"/>
        <v>4480</v>
      </c>
      <c r="O9" s="32">
        <f t="shared" si="12"/>
        <v>6245</v>
      </c>
      <c r="P9" s="32">
        <f t="shared" si="13"/>
        <v>21590</v>
      </c>
      <c r="Q9" s="32">
        <f t="shared" si="14"/>
        <v>0</v>
      </c>
      <c r="R9" s="32">
        <f t="shared" si="15"/>
        <v>0</v>
      </c>
      <c r="S9" s="32" t="str">
        <f>Global!M9</f>
        <v/>
      </c>
    </row>
    <row r="10">
      <c r="A10" s="75" t="s">
        <v>26</v>
      </c>
      <c r="B10" s="60">
        <f t="shared" si="1"/>
        <v>110610</v>
      </c>
      <c r="C10" s="60">
        <f t="shared" si="2"/>
        <v>210500</v>
      </c>
      <c r="D10" s="60">
        <f t="shared" si="3"/>
        <v>0</v>
      </c>
      <c r="E10" s="60">
        <f t="shared" si="4"/>
        <v>24830</v>
      </c>
      <c r="F10" s="60">
        <f t="shared" si="5"/>
        <v>104100</v>
      </c>
      <c r="G10" s="60">
        <f t="shared" si="6"/>
        <v>0</v>
      </c>
      <c r="H10" s="60">
        <f t="shared" si="7"/>
        <v>0</v>
      </c>
      <c r="I10" s="60">
        <f t="shared" si="8"/>
        <v>31020</v>
      </c>
      <c r="K10" s="75" t="s">
        <v>26</v>
      </c>
      <c r="L10" s="32">
        <f t="shared" si="9"/>
        <v>25335</v>
      </c>
      <c r="M10" s="32">
        <f t="shared" si="10"/>
        <v>110625</v>
      </c>
      <c r="N10" s="32">
        <f t="shared" si="11"/>
        <v>7240</v>
      </c>
      <c r="O10" s="32">
        <f t="shared" si="12"/>
        <v>7055</v>
      </c>
      <c r="P10" s="32">
        <f t="shared" si="13"/>
        <v>32450</v>
      </c>
      <c r="Q10" s="32">
        <f t="shared" si="14"/>
        <v>0</v>
      </c>
      <c r="R10" s="32">
        <f t="shared" si="15"/>
        <v>0</v>
      </c>
      <c r="S10" s="32" t="str">
        <f>Global!M10</f>
        <v/>
      </c>
      <c r="U10" s="88" t="s">
        <v>141</v>
      </c>
      <c r="V10" s="88"/>
      <c r="W10" s="88" t="s">
        <v>142</v>
      </c>
      <c r="X10" s="88" t="s">
        <v>143</v>
      </c>
      <c r="Y10" s="88" t="s">
        <v>144</v>
      </c>
      <c r="Z10" s="88" t="s">
        <v>145</v>
      </c>
      <c r="AA10" s="88" t="s">
        <v>146</v>
      </c>
      <c r="AB10" s="88" t="s">
        <v>147</v>
      </c>
      <c r="AC10" s="88" t="s">
        <v>148</v>
      </c>
    </row>
    <row r="11">
      <c r="A11" s="75" t="s">
        <v>27</v>
      </c>
      <c r="B11" s="60">
        <f t="shared" si="1"/>
        <v>0</v>
      </c>
      <c r="C11" s="60">
        <f t="shared" si="2"/>
        <v>0</v>
      </c>
      <c r="D11" s="60">
        <f t="shared" si="3"/>
        <v>0</v>
      </c>
      <c r="E11" s="60">
        <f t="shared" si="4"/>
        <v>0</v>
      </c>
      <c r="F11" s="60">
        <f t="shared" si="5"/>
        <v>0</v>
      </c>
      <c r="G11" s="60">
        <f t="shared" si="6"/>
        <v>0</v>
      </c>
      <c r="H11" s="60">
        <f t="shared" si="7"/>
        <v>0</v>
      </c>
      <c r="I11" s="60">
        <f t="shared" si="8"/>
        <v>0</v>
      </c>
      <c r="K11" s="75" t="s">
        <v>27</v>
      </c>
      <c r="L11" s="32">
        <f t="shared" si="9"/>
        <v>0</v>
      </c>
      <c r="M11" s="32">
        <f t="shared" si="10"/>
        <v>0</v>
      </c>
      <c r="N11" s="32">
        <f t="shared" si="11"/>
        <v>0</v>
      </c>
      <c r="O11" s="32">
        <f t="shared" si="12"/>
        <v>0</v>
      </c>
      <c r="P11" s="32">
        <f t="shared" si="13"/>
        <v>0</v>
      </c>
      <c r="Q11" s="32">
        <f t="shared" si="14"/>
        <v>0</v>
      </c>
      <c r="R11" s="32">
        <f t="shared" si="15"/>
        <v>0</v>
      </c>
      <c r="S11" s="32" t="str">
        <f>Global!M11</f>
        <v/>
      </c>
      <c r="U11" s="89" t="s">
        <v>150</v>
      </c>
      <c r="V11" s="89" t="s">
        <v>151</v>
      </c>
      <c r="W11" s="89" t="s">
        <v>152</v>
      </c>
      <c r="X11" s="89" t="s">
        <v>153</v>
      </c>
      <c r="Y11" s="89" t="s">
        <v>154</v>
      </c>
      <c r="Z11" s="89" t="s">
        <v>155</v>
      </c>
      <c r="AA11" s="89" t="s">
        <v>156</v>
      </c>
      <c r="AB11" s="89" t="s">
        <v>157</v>
      </c>
      <c r="AC11" s="89" t="s">
        <v>158</v>
      </c>
    </row>
    <row r="12">
      <c r="A12" s="75" t="s">
        <v>28</v>
      </c>
      <c r="B12" s="60">
        <f t="shared" si="1"/>
        <v>0</v>
      </c>
      <c r="C12" s="60">
        <f t="shared" si="2"/>
        <v>0</v>
      </c>
      <c r="D12" s="60">
        <f t="shared" ref="D12:D13" si="21">IFERROR(VLOOKUP($G$1,INDIRECT(#REF!&amp;"!$A$2:$J$101"),8,FALSE),0)</f>
        <v>0</v>
      </c>
      <c r="E12" s="60">
        <f t="shared" si="4"/>
        <v>0</v>
      </c>
      <c r="F12" s="60">
        <f t="shared" si="5"/>
        <v>0</v>
      </c>
      <c r="G12" s="60">
        <f t="shared" si="6"/>
        <v>0</v>
      </c>
      <c r="H12" s="60">
        <f t="shared" si="7"/>
        <v>0</v>
      </c>
      <c r="I12" s="60">
        <f t="shared" ref="I12:I13" si="22">IFERROR(VLOOKUP($I$1,INDIRECT(B12&amp;"!$A$2:$J$101"),8,FALSE),0)</f>
        <v>0</v>
      </c>
      <c r="K12" s="75" t="s">
        <v>28</v>
      </c>
      <c r="L12" s="32">
        <f t="shared" si="9"/>
        <v>0</v>
      </c>
      <c r="M12" s="32">
        <f t="shared" si="10"/>
        <v>0</v>
      </c>
      <c r="N12" s="32">
        <f t="shared" si="11"/>
        <v>0</v>
      </c>
      <c r="O12" s="32">
        <f t="shared" si="12"/>
        <v>0</v>
      </c>
      <c r="P12" s="32">
        <f t="shared" si="13"/>
        <v>0</v>
      </c>
      <c r="Q12" s="32">
        <f t="shared" si="14"/>
        <v>0</v>
      </c>
      <c r="R12" s="32">
        <f t="shared" si="15"/>
        <v>0</v>
      </c>
      <c r="S12" s="32" t="str">
        <f>Global!M12</f>
        <v/>
      </c>
      <c r="U12" s="28" t="s">
        <v>166</v>
      </c>
      <c r="V12" s="28" t="s">
        <v>167</v>
      </c>
      <c r="W12" s="60">
        <f>IFERROR(__xludf.DUMMYFUNCTION("GOOGLEFINANCE(""BCBA:""&amp;$V$12,W$11)"),12780.0)</f>
        <v>12780</v>
      </c>
      <c r="X12" s="60">
        <f>IFERROR(__xludf.DUMMYFUNCTION("GOOGLEFINANCE(""BCBA:""&amp;$V$12,X$11)"),12610.0)</f>
        <v>12610</v>
      </c>
      <c r="Y12" s="60">
        <f>IFERROR(__xludf.DUMMYFUNCTION("GOOGLEFINANCE(""BCBA:""&amp;$V$12,Y$11)"),8470.0)</f>
        <v>8470</v>
      </c>
      <c r="Z12" s="60">
        <f>IFERROR(__xludf.DUMMYFUNCTION("GOOGLEFINANCE(""BCBA:""&amp;$V$12,Z$11)"),15250.0)</f>
        <v>15250</v>
      </c>
      <c r="AA12" s="32">
        <f>IFERROR(__xludf.DUMMYFUNCTION("(GOOGLEFINANCE(""BCBA:""&amp;$V$12,AA$11))/100"),0.013500000000000002)</f>
        <v>0.0135</v>
      </c>
      <c r="AB12" s="60">
        <f>IFERROR(__xludf.DUMMYFUNCTION("GOOGLEFINANCE(""BCBA:""&amp;$V$12,AB$11)"),170.0)</f>
        <v>170</v>
      </c>
      <c r="AC12" s="32">
        <f t="shared" ref="AC12:AC15" si="23">(Z12/Y12)-1</f>
        <v>0.800472255</v>
      </c>
    </row>
    <row r="13">
      <c r="A13" s="75" t="s">
        <v>29</v>
      </c>
      <c r="B13" s="60">
        <f t="shared" si="1"/>
        <v>0</v>
      </c>
      <c r="C13" s="60">
        <f t="shared" si="2"/>
        <v>0</v>
      </c>
      <c r="D13" s="60">
        <f t="shared" si="21"/>
        <v>0</v>
      </c>
      <c r="E13" s="60">
        <f t="shared" si="4"/>
        <v>0</v>
      </c>
      <c r="F13" s="60">
        <f t="shared" si="5"/>
        <v>0</v>
      </c>
      <c r="G13" s="60">
        <f t="shared" si="6"/>
        <v>0</v>
      </c>
      <c r="H13" s="60">
        <f t="shared" si="7"/>
        <v>0</v>
      </c>
      <c r="I13" s="60">
        <f t="shared" si="22"/>
        <v>0</v>
      </c>
      <c r="K13" s="75" t="s">
        <v>29</v>
      </c>
      <c r="L13" s="32">
        <f t="shared" si="9"/>
        <v>0</v>
      </c>
      <c r="M13" s="32">
        <f t="shared" si="10"/>
        <v>0</v>
      </c>
      <c r="N13" s="32">
        <f t="shared" si="11"/>
        <v>0</v>
      </c>
      <c r="O13" s="32">
        <f t="shared" si="12"/>
        <v>0</v>
      </c>
      <c r="P13" s="32">
        <f t="shared" si="13"/>
        <v>0</v>
      </c>
      <c r="Q13" s="32">
        <f t="shared" si="14"/>
        <v>0</v>
      </c>
      <c r="R13" s="32">
        <f t="shared" si="15"/>
        <v>0</v>
      </c>
      <c r="S13" s="32" t="str">
        <f>Global!M13</f>
        <v/>
      </c>
      <c r="U13" s="28" t="s">
        <v>168</v>
      </c>
      <c r="V13" s="28" t="s">
        <v>169</v>
      </c>
      <c r="W13" s="60">
        <f>IFERROR(__xludf.DUMMYFUNCTION("GOOGLEFINANCE(""BCBA:""&amp;$V$13,W$11)"),5550.0)</f>
        <v>5550</v>
      </c>
      <c r="X13" s="60">
        <f>IFERROR(__xludf.DUMMYFUNCTION("GOOGLEFINANCE(""BCBA:""&amp;$V$13,X$11)"),5375.0)</f>
        <v>5375</v>
      </c>
      <c r="Y13" s="60">
        <f>IFERROR(__xludf.DUMMYFUNCTION("GOOGLEFINANCE(""BCBA:""&amp;$V$13,Y$11)"),2125.0)</f>
        <v>2125</v>
      </c>
      <c r="Z13" s="60">
        <f>IFERROR(__xludf.DUMMYFUNCTION("GOOGLEFINANCE(""BCBA:""&amp;$V$13,Z$11)"),5580.0)</f>
        <v>5580</v>
      </c>
      <c r="AA13" s="32">
        <f>IFERROR(__xludf.DUMMYFUNCTION("GOOGLEFINANCE(""BCBA:""&amp;$V$13,AA$11)/100"),0.0326)</f>
        <v>0.0326</v>
      </c>
      <c r="AB13" s="60">
        <f>IFERROR(__xludf.DUMMYFUNCTION("GOOGLEFINANCE(""BCBA:""&amp;$V$13,AB$11)"),175.0)</f>
        <v>175</v>
      </c>
      <c r="AC13" s="32">
        <f t="shared" si="23"/>
        <v>1.625882353</v>
      </c>
    </row>
    <row r="14">
      <c r="A14" s="108" t="s">
        <v>10</v>
      </c>
      <c r="B14" s="108">
        <f t="shared" ref="B14:G14" si="24">SUM(B2:B13)</f>
        <v>785745</v>
      </c>
      <c r="C14" s="108">
        <f t="shared" si="24"/>
        <v>1001500</v>
      </c>
      <c r="D14" s="85">
        <f t="shared" si="24"/>
        <v>19500</v>
      </c>
      <c r="E14" s="108">
        <f t="shared" si="24"/>
        <v>178109</v>
      </c>
      <c r="F14" s="109">
        <f t="shared" si="24"/>
        <v>709090</v>
      </c>
      <c r="G14" s="85">
        <f t="shared" si="24"/>
        <v>19500</v>
      </c>
      <c r="H14" s="85">
        <f t="shared" ref="H14:I14" si="25">IFERROR(VLOOKUP($H$1,INDIRECT(B14&amp;"!$A$2:$J$101"),8,FALSE),0)</f>
        <v>0</v>
      </c>
      <c r="I14" s="85">
        <f t="shared" si="25"/>
        <v>0</v>
      </c>
      <c r="K14" s="84" t="s">
        <v>139</v>
      </c>
      <c r="L14" s="86">
        <f t="shared" ref="L14:S14" si="26">AVERAGE(L2:L13)</f>
        <v>1522.5</v>
      </c>
      <c r="M14" s="86">
        <f t="shared" si="26"/>
        <v>8552.083333</v>
      </c>
      <c r="N14" s="86">
        <f t="shared" si="26"/>
        <v>2295.416667</v>
      </c>
      <c r="O14" s="86">
        <f t="shared" si="26"/>
        <v>1511.166667</v>
      </c>
      <c r="P14" s="86">
        <f t="shared" si="26"/>
        <v>5353.333333</v>
      </c>
      <c r="Q14" s="86">
        <f t="shared" si="26"/>
        <v>112.5</v>
      </c>
      <c r="R14" s="86">
        <f t="shared" si="26"/>
        <v>0</v>
      </c>
      <c r="S14" s="86">
        <f t="shared" si="26"/>
        <v>0.02245714286</v>
      </c>
      <c r="U14" s="28" t="s">
        <v>170</v>
      </c>
      <c r="V14" s="28" t="s">
        <v>171</v>
      </c>
      <c r="W14" s="60">
        <f>IFERROR(__xludf.DUMMYFUNCTION("GOOGLEFINANCE(""BCBA:""&amp;$V$14,W$11)"),40680.0)</f>
        <v>40680</v>
      </c>
      <c r="X14" s="60">
        <f>IFERROR(__xludf.DUMMYFUNCTION("GOOGLEFINANCE(""BCBA:""&amp;$V$14,X$11)"),40240.0)</f>
        <v>40240</v>
      </c>
      <c r="Y14" s="60">
        <f>IFERROR(__xludf.DUMMYFUNCTION("GOOGLEFINANCE(""BCBA:""&amp;$V$14,Y$11)"),21925.0)</f>
        <v>21925</v>
      </c>
      <c r="Z14" s="60">
        <f>IFERROR(__xludf.DUMMYFUNCTION("GOOGLEFINANCE(""BCBA:""&amp;$V$14,Z$11)"),51225.0)</f>
        <v>51225</v>
      </c>
      <c r="AA14" s="32">
        <f>IFERROR(__xludf.DUMMYFUNCTION("GOOGLEFINANCE(""BCBA:""&amp;$V$14,AA$11)/100"),0.0109)</f>
        <v>0.0109</v>
      </c>
      <c r="AB14" s="60">
        <f>IFERROR(__xludf.DUMMYFUNCTION("GOOGLEFINANCE(""BCBA:""&amp;$V$14,AB$11)"),440.0)</f>
        <v>440</v>
      </c>
      <c r="AC14" s="32">
        <f t="shared" si="23"/>
        <v>1.336374002</v>
      </c>
    </row>
    <row r="15">
      <c r="K15" s="84" t="s">
        <v>140</v>
      </c>
      <c r="L15" s="86">
        <f t="shared" ref="L15:S15" si="27">SUM(L2:L13)</f>
        <v>18270</v>
      </c>
      <c r="M15" s="86">
        <f t="shared" si="27"/>
        <v>102625</v>
      </c>
      <c r="N15" s="86">
        <f t="shared" si="27"/>
        <v>27545</v>
      </c>
      <c r="O15" s="86">
        <f t="shared" si="27"/>
        <v>18134</v>
      </c>
      <c r="P15" s="86">
        <f t="shared" si="27"/>
        <v>64240</v>
      </c>
      <c r="Q15" s="86">
        <f t="shared" si="27"/>
        <v>1350</v>
      </c>
      <c r="R15" s="86">
        <f t="shared" si="27"/>
        <v>0</v>
      </c>
      <c r="S15" s="86">
        <f t="shared" si="27"/>
        <v>0.1572</v>
      </c>
      <c r="U15" s="28" t="s">
        <v>172</v>
      </c>
      <c r="V15" s="28" t="s">
        <v>173</v>
      </c>
      <c r="W15" s="60">
        <f>IFERROR(__xludf.DUMMYFUNCTION("GOOGLEFINANCE(""BCBA:""&amp;$V$15,W$11)"),3375.0)</f>
        <v>3375</v>
      </c>
      <c r="X15" s="60">
        <f>IFERROR(__xludf.DUMMYFUNCTION("GOOGLEFINANCE(""BCBA:""&amp;$V$15,X$11)"),3312.5)</f>
        <v>3312.5</v>
      </c>
      <c r="Y15" s="60">
        <f>IFERROR(__xludf.DUMMYFUNCTION("GOOGLEFINANCE(""BCBA:""&amp;$V$15,Y$11)"),1975.0)</f>
        <v>1975</v>
      </c>
      <c r="Z15" s="60">
        <f>IFERROR(__xludf.DUMMYFUNCTION("GOOGLEFINANCE(""BCBA:""&amp;$V$15,Z$11)"),4180.0)</f>
        <v>4180</v>
      </c>
      <c r="AA15" s="32">
        <f>IFERROR(__xludf.DUMMYFUNCTION("GOOGLEFINANCE(""BCBA:""&amp;$V$15,AA$11)/100"),0.0189)</f>
        <v>0.0189</v>
      </c>
      <c r="AB15" s="60">
        <f>IFERROR(__xludf.DUMMYFUNCTION("GOOGLEFINANCE(""BCBA:""&amp;$V$15,AB$11)"),62.5)</f>
        <v>62.5</v>
      </c>
      <c r="AC15" s="32">
        <f t="shared" si="23"/>
        <v>1.116455696</v>
      </c>
    </row>
    <row r="16">
      <c r="AB16" s="97"/>
    </row>
    <row r="17">
      <c r="A17" s="90" t="s">
        <v>40</v>
      </c>
      <c r="B17" s="91"/>
      <c r="C17" s="91"/>
      <c r="D17" s="91"/>
      <c r="E17" s="91"/>
      <c r="F17" s="91"/>
      <c r="G17" s="91"/>
      <c r="H17" s="91"/>
      <c r="I17" s="91"/>
    </row>
    <row r="18">
      <c r="A18" s="93" t="s">
        <v>0</v>
      </c>
      <c r="B18" s="76" t="s">
        <v>58</v>
      </c>
      <c r="C18" s="76" t="s">
        <v>62</v>
      </c>
      <c r="D18" s="76" t="s">
        <v>64</v>
      </c>
      <c r="E18" s="76" t="s">
        <v>66</v>
      </c>
      <c r="F18" s="76" t="s">
        <v>68</v>
      </c>
      <c r="G18" s="76" t="s">
        <v>69</v>
      </c>
      <c r="H18" s="76" t="s">
        <v>165</v>
      </c>
      <c r="I18" s="76" t="s">
        <v>63</v>
      </c>
      <c r="R18" s="28" t="s">
        <v>156</v>
      </c>
      <c r="S18" s="99" t="s">
        <v>162</v>
      </c>
      <c r="T18" s="91"/>
      <c r="U18" s="91"/>
      <c r="V18" s="91"/>
      <c r="W18" s="91"/>
      <c r="X18" s="73"/>
    </row>
    <row r="19">
      <c r="A19" s="75" t="s">
        <v>16</v>
      </c>
      <c r="B19" s="96">
        <f t="shared" ref="B19:I19" si="28">B2-B32</f>
        <v>51175</v>
      </c>
      <c r="C19" s="96">
        <f t="shared" si="28"/>
        <v>38250</v>
      </c>
      <c r="D19" s="96" t="str">
        <f t="shared" si="28"/>
        <v>#REF!</v>
      </c>
      <c r="E19" s="96" t="str">
        <f t="shared" si="28"/>
        <v>#REF!</v>
      </c>
      <c r="F19" s="96" t="str">
        <f t="shared" si="28"/>
        <v>#REF!</v>
      </c>
      <c r="G19" s="96" t="str">
        <f t="shared" si="28"/>
        <v>#REF!</v>
      </c>
      <c r="H19" s="96" t="str">
        <f t="shared" si="28"/>
        <v>#REF!</v>
      </c>
      <c r="I19" s="96" t="str">
        <f t="shared" si="28"/>
        <v>#REF!</v>
      </c>
      <c r="R19" s="28" t="s">
        <v>157</v>
      </c>
      <c r="S19" s="99" t="s">
        <v>163</v>
      </c>
      <c r="T19" s="91"/>
      <c r="U19" s="91"/>
      <c r="V19" s="91"/>
      <c r="W19" s="91"/>
      <c r="X19" s="73"/>
    </row>
    <row r="20">
      <c r="A20" s="75" t="s">
        <v>17</v>
      </c>
      <c r="B20" s="96">
        <f t="shared" ref="B20:I20" si="29">B3-B2</f>
        <v>-7200</v>
      </c>
      <c r="C20" s="96">
        <f t="shared" si="29"/>
        <v>-4250</v>
      </c>
      <c r="D20" s="96">
        <f t="shared" si="29"/>
        <v>750</v>
      </c>
      <c r="E20" s="96">
        <f t="shared" si="29"/>
        <v>-125</v>
      </c>
      <c r="F20" s="96">
        <f t="shared" si="29"/>
        <v>-1050</v>
      </c>
      <c r="G20" s="96">
        <f t="shared" si="29"/>
        <v>750</v>
      </c>
      <c r="H20" s="96">
        <f t="shared" si="29"/>
        <v>0</v>
      </c>
      <c r="I20" s="96">
        <f t="shared" si="29"/>
        <v>150</v>
      </c>
    </row>
    <row r="21">
      <c r="A21" s="75" t="s">
        <v>18</v>
      </c>
      <c r="B21" s="96">
        <f t="shared" ref="B21:I21" si="30">B4-B3</f>
        <v>-4725</v>
      </c>
      <c r="C21" s="96">
        <f t="shared" si="30"/>
        <v>-5000</v>
      </c>
      <c r="D21" s="96">
        <f t="shared" si="30"/>
        <v>-10125</v>
      </c>
      <c r="E21" s="96">
        <f t="shared" si="30"/>
        <v>-75</v>
      </c>
      <c r="F21" s="96">
        <f t="shared" si="30"/>
        <v>-2750</v>
      </c>
      <c r="G21" s="96">
        <f t="shared" si="30"/>
        <v>-10125</v>
      </c>
      <c r="H21" s="96">
        <f t="shared" si="30"/>
        <v>0</v>
      </c>
      <c r="I21" s="96">
        <f t="shared" si="30"/>
        <v>-225</v>
      </c>
    </row>
    <row r="22">
      <c r="A22" s="75" t="s">
        <v>20</v>
      </c>
      <c r="B22" s="96">
        <f t="shared" ref="B22:I22" si="31">B5-B4</f>
        <v>2250</v>
      </c>
      <c r="C22" s="96">
        <f t="shared" si="31"/>
        <v>-6625</v>
      </c>
      <c r="D22" s="96">
        <f t="shared" si="31"/>
        <v>0</v>
      </c>
      <c r="E22" s="96">
        <f t="shared" si="31"/>
        <v>1050</v>
      </c>
      <c r="F22" s="96">
        <f t="shared" si="31"/>
        <v>-1050</v>
      </c>
      <c r="G22" s="96">
        <f t="shared" si="31"/>
        <v>0</v>
      </c>
      <c r="H22" s="96">
        <f t="shared" si="31"/>
        <v>0</v>
      </c>
      <c r="I22" s="96">
        <f t="shared" si="31"/>
        <v>-675</v>
      </c>
    </row>
    <row r="23">
      <c r="A23" s="75" t="s">
        <v>22</v>
      </c>
      <c r="B23" s="96">
        <f t="shared" ref="B23:I23" si="32">B6-B5</f>
        <v>900</v>
      </c>
      <c r="C23" s="96">
        <f t="shared" si="32"/>
        <v>7875</v>
      </c>
      <c r="D23" s="96">
        <f t="shared" si="32"/>
        <v>0</v>
      </c>
      <c r="E23" s="96">
        <f t="shared" si="32"/>
        <v>1125</v>
      </c>
      <c r="F23" s="96">
        <f t="shared" si="32"/>
        <v>3400</v>
      </c>
      <c r="G23" s="96">
        <f t="shared" si="32"/>
        <v>0</v>
      </c>
      <c r="H23" s="96">
        <f t="shared" si="32"/>
        <v>0</v>
      </c>
      <c r="I23" s="96">
        <f t="shared" si="32"/>
        <v>1450</v>
      </c>
    </row>
    <row r="24">
      <c r="A24" s="75" t="s">
        <v>23</v>
      </c>
      <c r="B24" s="98">
        <v>0.0</v>
      </c>
      <c r="C24" s="98">
        <v>0.0</v>
      </c>
      <c r="D24" s="98">
        <v>0.0</v>
      </c>
      <c r="E24" s="98">
        <v>0.0</v>
      </c>
      <c r="F24" s="98">
        <v>0.0</v>
      </c>
      <c r="G24" s="98">
        <v>0.0</v>
      </c>
      <c r="H24" s="98">
        <v>0.0</v>
      </c>
      <c r="I24" s="98">
        <v>0.0</v>
      </c>
    </row>
    <row r="25">
      <c r="A25" s="75" t="s">
        <v>24</v>
      </c>
      <c r="B25" s="98">
        <v>0.0</v>
      </c>
      <c r="C25" s="96">
        <f t="shared" ref="C25:D25" si="33">C8-C7</f>
        <v>21375</v>
      </c>
      <c r="D25" s="96">
        <f t="shared" si="33"/>
        <v>0</v>
      </c>
      <c r="E25" s="96">
        <f t="shared" ref="E25:I25" si="34">F8-F7</f>
        <v>10200</v>
      </c>
      <c r="F25" s="96">
        <f t="shared" si="34"/>
        <v>0</v>
      </c>
      <c r="G25" s="96">
        <f t="shared" si="34"/>
        <v>0</v>
      </c>
      <c r="H25" s="96">
        <f t="shared" si="34"/>
        <v>-975</v>
      </c>
      <c r="I25" s="96">
        <f t="shared" si="34"/>
        <v>0</v>
      </c>
    </row>
    <row r="26">
      <c r="A26" s="75" t="s">
        <v>25</v>
      </c>
      <c r="B26" s="96">
        <f t="shared" ref="B26:D26" si="35">B9-B8</f>
        <v>14985</v>
      </c>
      <c r="C26" s="96">
        <f t="shared" si="35"/>
        <v>31875</v>
      </c>
      <c r="D26" s="96">
        <f t="shared" si="35"/>
        <v>0</v>
      </c>
      <c r="E26" s="96">
        <f t="shared" ref="E26:I26" si="36">F9-F8</f>
        <v>7440</v>
      </c>
      <c r="F26" s="96">
        <f t="shared" si="36"/>
        <v>0</v>
      </c>
      <c r="G26" s="96">
        <f t="shared" si="36"/>
        <v>0</v>
      </c>
      <c r="H26" s="96">
        <f t="shared" si="36"/>
        <v>1735</v>
      </c>
      <c r="I26" s="96">
        <f t="shared" si="36"/>
        <v>0</v>
      </c>
    </row>
    <row r="27">
      <c r="A27" s="75" t="s">
        <v>26</v>
      </c>
      <c r="B27" s="96">
        <f t="shared" ref="B27:D27" si="37">B10-B9</f>
        <v>4950</v>
      </c>
      <c r="C27" s="96">
        <f t="shared" si="37"/>
        <v>64750</v>
      </c>
      <c r="D27" s="96">
        <f t="shared" si="37"/>
        <v>0</v>
      </c>
      <c r="E27" s="96">
        <f t="shared" ref="E27:I27" si="38">F10-F9</f>
        <v>10860</v>
      </c>
      <c r="F27" s="96">
        <f t="shared" si="38"/>
        <v>0</v>
      </c>
      <c r="G27" s="96">
        <f t="shared" si="38"/>
        <v>0</v>
      </c>
      <c r="H27" s="96">
        <f t="shared" si="38"/>
        <v>6460</v>
      </c>
      <c r="I27" s="96">
        <f t="shared" si="38"/>
        <v>0</v>
      </c>
    </row>
    <row r="28">
      <c r="A28" s="75" t="s">
        <v>27</v>
      </c>
      <c r="B28" s="96">
        <f t="shared" ref="B28:D28" si="39">B11-B10</f>
        <v>-110610</v>
      </c>
      <c r="C28" s="96">
        <f t="shared" si="39"/>
        <v>-210500</v>
      </c>
      <c r="D28" s="96">
        <f t="shared" si="39"/>
        <v>0</v>
      </c>
      <c r="E28" s="96">
        <f t="shared" ref="E28:I28" si="40">F11-F10</f>
        <v>-104100</v>
      </c>
      <c r="F28" s="96">
        <f t="shared" si="40"/>
        <v>0</v>
      </c>
      <c r="G28" s="96">
        <f t="shared" si="40"/>
        <v>0</v>
      </c>
      <c r="H28" s="96">
        <f t="shared" si="40"/>
        <v>-31020</v>
      </c>
      <c r="I28" s="96">
        <f t="shared" si="40"/>
        <v>0</v>
      </c>
    </row>
    <row r="29">
      <c r="A29" s="75" t="s">
        <v>28</v>
      </c>
      <c r="B29" s="96">
        <f t="shared" ref="B29:D29" si="41">B12-B11</f>
        <v>0</v>
      </c>
      <c r="C29" s="96">
        <f t="shared" si="41"/>
        <v>0</v>
      </c>
      <c r="D29" s="96">
        <f t="shared" si="41"/>
        <v>0</v>
      </c>
      <c r="E29" s="96">
        <f t="shared" ref="E29:I29" si="42">F12-F11</f>
        <v>0</v>
      </c>
      <c r="F29" s="96">
        <f t="shared" si="42"/>
        <v>0</v>
      </c>
      <c r="G29" s="96">
        <f t="shared" si="42"/>
        <v>0</v>
      </c>
      <c r="H29" s="96">
        <f t="shared" si="42"/>
        <v>0</v>
      </c>
      <c r="I29" s="96">
        <f t="shared" si="42"/>
        <v>0</v>
      </c>
    </row>
    <row r="30">
      <c r="A30" s="75" t="s">
        <v>29</v>
      </c>
      <c r="B30" s="96">
        <f t="shared" ref="B30:D30" si="43">B13-B12</f>
        <v>0</v>
      </c>
      <c r="C30" s="96">
        <f t="shared" si="43"/>
        <v>0</v>
      </c>
      <c r="D30" s="96">
        <f t="shared" si="43"/>
        <v>0</v>
      </c>
      <c r="E30" s="96">
        <f t="shared" ref="E30:I30" si="44">F13-F12</f>
        <v>0</v>
      </c>
      <c r="F30" s="96">
        <f t="shared" si="44"/>
        <v>0</v>
      </c>
      <c r="G30" s="96">
        <f t="shared" si="44"/>
        <v>0</v>
      </c>
      <c r="H30" s="96">
        <f t="shared" si="44"/>
        <v>0</v>
      </c>
      <c r="I30" s="96">
        <f t="shared" si="44"/>
        <v>0</v>
      </c>
    </row>
    <row r="31">
      <c r="A31" s="103" t="s">
        <v>10</v>
      </c>
      <c r="B31" s="103">
        <f t="shared" ref="B31:I31" si="45">SUM(B19:B30)</f>
        <v>-48275</v>
      </c>
      <c r="C31" s="103">
        <f t="shared" si="45"/>
        <v>-62250</v>
      </c>
      <c r="D31" s="103" t="str">
        <f t="shared" si="45"/>
        <v>#REF!</v>
      </c>
      <c r="E31" s="103" t="str">
        <f t="shared" si="45"/>
        <v>#REF!</v>
      </c>
      <c r="F31" s="103" t="str">
        <f t="shared" si="45"/>
        <v>#REF!</v>
      </c>
      <c r="G31" s="103" t="str">
        <f t="shared" si="45"/>
        <v>#REF!</v>
      </c>
      <c r="H31" s="103" t="str">
        <f t="shared" si="45"/>
        <v>#REF!</v>
      </c>
      <c r="I31" s="103" t="str">
        <f t="shared" si="45"/>
        <v>#REF!</v>
      </c>
    </row>
    <row r="32">
      <c r="A32" s="104" t="s">
        <v>164</v>
      </c>
      <c r="B32" s="104">
        <v>35000.0</v>
      </c>
      <c r="C32" s="104">
        <v>57000.0</v>
      </c>
      <c r="D32" s="103" t="str">
        <f>'Dic2023'!$E4</f>
        <v>#REF!</v>
      </c>
      <c r="E32" s="103" t="str">
        <f>'Dic2023'!$E5</f>
        <v>#REF!</v>
      </c>
      <c r="F32" s="103" t="str">
        <f>'Dic2023'!$E6</f>
        <v>#REF!</v>
      </c>
      <c r="G32" s="103" t="str">
        <f>'Dic2023'!$E7</f>
        <v>#REF!</v>
      </c>
      <c r="H32" s="103" t="str">
        <f>'Dic2023'!$E8</f>
        <v>#REF!</v>
      </c>
      <c r="I32" s="103" t="str">
        <f>'Dic2023'!$E9</f>
        <v>#REF!</v>
      </c>
    </row>
  </sheetData>
  <mergeCells count="4">
    <mergeCell ref="U1:V1"/>
    <mergeCell ref="A17:I17"/>
    <mergeCell ref="S18:X18"/>
    <mergeCell ref="S19:X19"/>
  </mergeCells>
  <conditionalFormatting sqref="Y2:Y7 AA2:AA7 AC2:AC7 AE2:AE7">
    <cfRule type="cellIs" dxfId="4" priority="1" operator="lessThan">
      <formula>0</formula>
    </cfRule>
  </conditionalFormatting>
  <conditionalFormatting sqref="Y2:Y7 AA2:AA7 AC2:AC7 AE2:AE7">
    <cfRule type="cellIs" dxfId="5" priority="2" operator="greaterThan">
      <formula>0</formula>
    </cfRule>
  </conditionalFormatting>
  <conditionalFormatting sqref="AA1:AA7 AB1 AC1:AC7 AD1 AE1:AE7 Y2:Y7">
    <cfRule type="cellIs" dxfId="6" priority="3" operator="equal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7.0"/>
    <col customWidth="1" min="4" max="4" width="18.5"/>
    <col customWidth="1" min="5" max="6" width="13.38"/>
    <col customWidth="1" min="12" max="12" width="10.88"/>
    <col customWidth="1" min="13" max="13" width="10.75"/>
    <col customWidth="1" min="14" max="14" width="10.0"/>
    <col customWidth="1" min="15" max="16" width="10.75"/>
    <col customWidth="1" min="21" max="21" width="29.0"/>
    <col customWidth="1" min="22" max="22" width="12.5"/>
  </cols>
  <sheetData>
    <row r="1">
      <c r="A1" s="75" t="s">
        <v>0</v>
      </c>
      <c r="B1" s="110" t="s">
        <v>174</v>
      </c>
      <c r="C1" s="110" t="s">
        <v>175</v>
      </c>
      <c r="D1" s="110" t="s">
        <v>73</v>
      </c>
      <c r="E1" s="111" t="s">
        <v>176</v>
      </c>
      <c r="F1" s="110" t="s">
        <v>84</v>
      </c>
      <c r="G1" s="110" t="s">
        <v>177</v>
      </c>
      <c r="H1" s="110" t="s">
        <v>72</v>
      </c>
      <c r="I1" s="110" t="s">
        <v>178</v>
      </c>
      <c r="K1" s="75" t="s">
        <v>0</v>
      </c>
      <c r="L1" s="111" t="s">
        <v>174</v>
      </c>
      <c r="M1" s="110" t="s">
        <v>175</v>
      </c>
      <c r="N1" s="111" t="s">
        <v>73</v>
      </c>
      <c r="O1" s="111" t="s">
        <v>176</v>
      </c>
      <c r="P1" s="111" t="s">
        <v>84</v>
      </c>
      <c r="Q1" s="111" t="s">
        <v>177</v>
      </c>
      <c r="R1" s="110" t="s">
        <v>72</v>
      </c>
      <c r="S1" s="112" t="s">
        <v>129</v>
      </c>
      <c r="U1" s="111" t="s">
        <v>6</v>
      </c>
      <c r="V1" s="90" t="s">
        <v>40</v>
      </c>
      <c r="W1" s="92" t="s">
        <v>159</v>
      </c>
      <c r="X1" s="92" t="s">
        <v>160</v>
      </c>
    </row>
    <row r="2">
      <c r="A2" s="75" t="s">
        <v>16</v>
      </c>
      <c r="B2" s="60">
        <f t="shared" ref="B2:B13" si="1">IFERROR(VLOOKUP($B$1,INDIRECT(A2&amp;"!$A$2:$J$101"),8,FALSE),0)</f>
        <v>0</v>
      </c>
      <c r="C2" s="60">
        <f t="shared" ref="C2:C13" si="2">IFERROR(VLOOKUP($C$1,INDIRECT(A2&amp;"!$A$2:$J$101"),8,FALSE),0)</f>
        <v>0</v>
      </c>
      <c r="D2" s="60">
        <f t="shared" ref="D2:D13" si="3">IFERROR(VLOOKUP($D$1,INDIRECT(A2&amp;"!$A$2:$J$101"),8,FALSE),0)</f>
        <v>131040.875</v>
      </c>
      <c r="E2" s="60">
        <f t="shared" ref="E2:E7" si="4">IFERROR(VLOOKUP($E$1,INDIRECT(A2&amp;"!$A$2:$J$101"),8,FALSE),0)</f>
        <v>0</v>
      </c>
      <c r="F2" s="60">
        <f t="array" ref="F2">IFERROR(VLOOKUP($F$1,INDIRECT(A2&amp;"!$A$2:$J$101"),8,FALSE),0)</f>
        <v>0</v>
      </c>
      <c r="G2" s="60">
        <f t="shared" ref="G2:G13" si="5">IFERROR(VLOOKUP($G$1,INDIRECT(A2&amp;"!$A$2:$J$101"),8,FALSE),0)</f>
        <v>0</v>
      </c>
      <c r="H2" s="60">
        <f t="shared" ref="H2:H10" si="6">IFERROR(VLOOKUP($H$1,INDIRECT(A2&amp;"!$A$2:$J$101"),8,FALSE),0)</f>
        <v>1207729.195</v>
      </c>
      <c r="I2" s="60">
        <f t="shared" ref="I2:I13" si="7">IFERROR(VLOOKUP($I$1,INDIRECT(B2&amp;"!$A$2:$J$101"),8,FALSE),0)</f>
        <v>0</v>
      </c>
      <c r="K2" s="75" t="s">
        <v>16</v>
      </c>
      <c r="L2" s="82">
        <f t="shared" ref="L2:L13" si="8">IFERROR(VLOOKUP($L$1,INDIRECT(A2&amp;"!$A$2:$J$101"),9,FALSE),0)</f>
        <v>0</v>
      </c>
      <c r="M2" s="82">
        <f t="shared" ref="M2:M13" si="9">IFERROR(VLOOKUP($M$1,INDIRECT(A2&amp;"!$A$2:$J$101"),9,FALSE),0)</f>
        <v>0</v>
      </c>
      <c r="N2" s="82">
        <f t="shared" ref="N2:N13" si="10">IFERROR(VLOOKUP($N$1,INDIRECT(A2&amp;"!$A$2:$J$101"),9,FALSE),0)</f>
        <v>2173.95</v>
      </c>
      <c r="O2" s="82">
        <f t="shared" ref="O2:O13" si="11">IFERROR(VLOOKUP($O$1,INDIRECT(A2&amp;"!$A$2:$J$101"),9,FALSE),0)</f>
        <v>0</v>
      </c>
      <c r="P2" s="82">
        <f t="shared" ref="P2:P13" si="12">IFERROR(VLOOKUP($P$1,INDIRECT(A2&amp;"!$A$2:$J$101"),9,FALSE),0)</f>
        <v>0</v>
      </c>
      <c r="Q2" s="82">
        <f t="shared" ref="Q2:Q13" si="13">IFERROR(VLOOKUP($Q$1,INDIRECT(A2&amp;"!$A$2:$J$101"),9,FALSE),0)</f>
        <v>0</v>
      </c>
      <c r="R2" s="32">
        <f t="shared" ref="R2:R13" si="14">IFERROR(VLOOKUP($R$1,INDIRECT(A2&amp;"!$A$2:$J$101"),9,FALSE),0)</f>
        <v>114051.644</v>
      </c>
      <c r="S2" s="32">
        <f>Global!M2</f>
        <v>0.022</v>
      </c>
      <c r="U2" s="113" t="s">
        <v>174</v>
      </c>
      <c r="V2" s="114">
        <f>B$31</f>
        <v>-3865.58</v>
      </c>
      <c r="W2" s="115">
        <f>((B$31-B$32)/B$32)+100%</f>
        <v>-0.03545532575</v>
      </c>
      <c r="X2" s="96">
        <f>(B$32+(B$32*W2))-B$32</f>
        <v>-3865.58</v>
      </c>
    </row>
    <row r="3">
      <c r="A3" s="75" t="s">
        <v>17</v>
      </c>
      <c r="B3" s="60">
        <f t="shared" si="1"/>
        <v>0</v>
      </c>
      <c r="C3" s="60">
        <f t="shared" si="2"/>
        <v>0</v>
      </c>
      <c r="D3" s="60">
        <f t="shared" si="3"/>
        <v>119084.15</v>
      </c>
      <c r="E3" s="60">
        <f t="shared" si="4"/>
        <v>0</v>
      </c>
      <c r="F3" s="60">
        <f t="array" ref="F3">IFERROR(VLOOKUP($E$1,INDIRECT(B3&amp;"!$A$2:$J$101"),8,FALSE),0)</f>
        <v>0</v>
      </c>
      <c r="G3" s="60">
        <f t="shared" si="5"/>
        <v>0</v>
      </c>
      <c r="H3" s="60">
        <f t="shared" si="6"/>
        <v>1188615.568</v>
      </c>
      <c r="I3" s="60">
        <f t="shared" si="7"/>
        <v>0</v>
      </c>
      <c r="K3" s="75" t="s">
        <v>17</v>
      </c>
      <c r="L3" s="82">
        <f t="shared" si="8"/>
        <v>0</v>
      </c>
      <c r="M3" s="82">
        <f t="shared" si="9"/>
        <v>0</v>
      </c>
      <c r="N3" s="82">
        <f t="shared" si="10"/>
        <v>-9782.775</v>
      </c>
      <c r="O3" s="82">
        <f t="shared" si="11"/>
        <v>0</v>
      </c>
      <c r="P3" s="82">
        <f t="shared" si="12"/>
        <v>0</v>
      </c>
      <c r="Q3" s="82">
        <f t="shared" si="13"/>
        <v>0</v>
      </c>
      <c r="R3" s="32">
        <f t="shared" si="14"/>
        <v>94938.01672</v>
      </c>
      <c r="S3" s="32">
        <f>Global!M3</f>
        <v>0.024</v>
      </c>
      <c r="U3" s="113" t="s">
        <v>175</v>
      </c>
      <c r="V3" s="114">
        <f>C$31</f>
        <v>24833.554</v>
      </c>
      <c r="W3" s="115">
        <f>((C$31-C$32)/C$32)+100%</f>
        <v>0.08559373994</v>
      </c>
      <c r="X3" s="96">
        <f>(C$32+(C$32*W3))-C$32</f>
        <v>24833.554</v>
      </c>
    </row>
    <row r="4">
      <c r="A4" s="75" t="s">
        <v>18</v>
      </c>
      <c r="B4" s="60">
        <f t="shared" si="1"/>
        <v>0</v>
      </c>
      <c r="C4" s="60">
        <f t="shared" si="2"/>
        <v>0</v>
      </c>
      <c r="D4" s="60">
        <f t="shared" si="3"/>
        <v>111124.9688</v>
      </c>
      <c r="E4" s="60">
        <f t="shared" si="4"/>
        <v>0</v>
      </c>
      <c r="F4" s="60">
        <f t="shared" ref="F4:F12" si="15">IFERROR(VLOOKUP($F$1,INDIRECT(A4&amp;"!$A$2:$J$101"),8,FALSE),0)</f>
        <v>1048499.306</v>
      </c>
      <c r="G4" s="60">
        <f t="shared" si="5"/>
        <v>0</v>
      </c>
      <c r="H4" s="60">
        <f t="shared" si="6"/>
        <v>1194142.767</v>
      </c>
      <c r="I4" s="60">
        <f t="shared" si="7"/>
        <v>0</v>
      </c>
      <c r="K4" s="75" t="s">
        <v>18</v>
      </c>
      <c r="L4" s="82">
        <f t="shared" si="8"/>
        <v>0</v>
      </c>
      <c r="M4" s="82">
        <f t="shared" si="9"/>
        <v>0</v>
      </c>
      <c r="N4" s="82">
        <f t="shared" si="10"/>
        <v>-17741.9562</v>
      </c>
      <c r="O4" s="82">
        <f t="shared" si="11"/>
        <v>0</v>
      </c>
      <c r="P4" s="82">
        <f t="shared" si="12"/>
        <v>572.5555531</v>
      </c>
      <c r="Q4" s="82">
        <f t="shared" si="13"/>
        <v>0</v>
      </c>
      <c r="R4" s="32">
        <f t="shared" si="14"/>
        <v>100465.2156</v>
      </c>
      <c r="S4" s="32">
        <f>Global!M4</f>
        <v>0.03</v>
      </c>
      <c r="U4" s="113" t="s">
        <v>73</v>
      </c>
      <c r="V4" s="114">
        <f>D$31</f>
        <v>-53541.225</v>
      </c>
      <c r="W4" s="115">
        <f>((D$31-D$32)/D$32)+100%</f>
        <v>-1.216846023</v>
      </c>
      <c r="X4" s="96">
        <f>(D$32+(D$32*W4))-D$32</f>
        <v>-53541.225</v>
      </c>
    </row>
    <row r="5">
      <c r="A5" s="75" t="s">
        <v>20</v>
      </c>
      <c r="B5" s="60">
        <f t="shared" si="1"/>
        <v>0</v>
      </c>
      <c r="C5" s="60">
        <f t="shared" si="2"/>
        <v>0</v>
      </c>
      <c r="D5" s="60">
        <f t="shared" si="3"/>
        <v>119636.1642</v>
      </c>
      <c r="E5" s="60">
        <f t="shared" si="4"/>
        <v>0</v>
      </c>
      <c r="F5" s="60">
        <f t="shared" si="15"/>
        <v>1094937.842</v>
      </c>
      <c r="G5" s="60">
        <f t="shared" si="5"/>
        <v>0</v>
      </c>
      <c r="H5" s="60">
        <f t="shared" si="6"/>
        <v>1218473.784</v>
      </c>
      <c r="I5" s="60">
        <f t="shared" si="7"/>
        <v>0</v>
      </c>
      <c r="K5" s="75" t="s">
        <v>20</v>
      </c>
      <c r="L5" s="82">
        <f t="shared" si="8"/>
        <v>0</v>
      </c>
      <c r="M5" s="82">
        <f t="shared" si="9"/>
        <v>0</v>
      </c>
      <c r="N5" s="82">
        <f t="shared" si="10"/>
        <v>-9230.760785</v>
      </c>
      <c r="O5" s="82">
        <f t="shared" si="11"/>
        <v>0</v>
      </c>
      <c r="P5" s="82">
        <f t="shared" si="12"/>
        <v>47011.09232</v>
      </c>
      <c r="Q5" s="82">
        <f t="shared" si="13"/>
        <v>0</v>
      </c>
      <c r="R5" s="32">
        <f t="shared" si="14"/>
        <v>124796.233</v>
      </c>
      <c r="S5" s="32">
        <f>Global!M5</f>
        <v>0.028</v>
      </c>
      <c r="U5" s="113" t="s">
        <v>176</v>
      </c>
      <c r="V5" s="114">
        <f>E$31</f>
        <v>69407.984</v>
      </c>
      <c r="W5" s="115">
        <f>((E$31-E$32)/E$32)+100%</f>
        <v>0.1123793251</v>
      </c>
      <c r="X5" s="96">
        <f>(E$32+(E$32*W5))-E$32</f>
        <v>69407.984</v>
      </c>
    </row>
    <row r="6">
      <c r="A6" s="75" t="s">
        <v>22</v>
      </c>
      <c r="B6" s="60">
        <f t="shared" si="1"/>
        <v>0</v>
      </c>
      <c r="C6" s="60">
        <f t="shared" si="2"/>
        <v>0</v>
      </c>
      <c r="D6" s="60">
        <f t="shared" si="3"/>
        <v>116812.7346</v>
      </c>
      <c r="E6" s="60">
        <f t="shared" si="4"/>
        <v>0</v>
      </c>
      <c r="F6" s="60">
        <f t="shared" si="15"/>
        <v>1122443.935</v>
      </c>
      <c r="G6" s="60">
        <f t="shared" si="5"/>
        <v>0</v>
      </c>
      <c r="H6" s="60">
        <f t="shared" si="6"/>
        <v>1253672.264</v>
      </c>
      <c r="I6" s="60">
        <f t="shared" si="7"/>
        <v>0</v>
      </c>
      <c r="K6" s="75" t="s">
        <v>22</v>
      </c>
      <c r="L6" s="82">
        <f t="shared" si="8"/>
        <v>0</v>
      </c>
      <c r="M6" s="82">
        <f t="shared" si="9"/>
        <v>0</v>
      </c>
      <c r="N6" s="82">
        <f t="shared" si="10"/>
        <v>-12054.19043</v>
      </c>
      <c r="O6" s="82">
        <f t="shared" si="11"/>
        <v>0</v>
      </c>
      <c r="P6" s="82">
        <f t="shared" si="12"/>
        <v>74517.18545</v>
      </c>
      <c r="Q6" s="82">
        <f t="shared" si="13"/>
        <v>0</v>
      </c>
      <c r="R6" s="32">
        <f t="shared" si="14"/>
        <v>159994.7128</v>
      </c>
      <c r="S6" s="32">
        <f>Global!M6</f>
        <v>0.0172</v>
      </c>
      <c r="U6" s="113" t="s">
        <v>84</v>
      </c>
      <c r="V6" s="114">
        <f>F$31</f>
        <v>-1116504.127</v>
      </c>
      <c r="W6" s="115">
        <f>((F$31-F$32)/F$32)+100%</f>
        <v>-4.652100528</v>
      </c>
      <c r="X6" s="96">
        <f>(F$32+(F$32*W6))-F$32</f>
        <v>-1116504.127</v>
      </c>
    </row>
    <row r="7">
      <c r="A7" s="75" t="s">
        <v>23</v>
      </c>
      <c r="B7" s="60">
        <f t="shared" si="1"/>
        <v>0</v>
      </c>
      <c r="C7" s="60">
        <f t="shared" si="2"/>
        <v>0</v>
      </c>
      <c r="D7" s="60">
        <f t="shared" si="3"/>
        <v>108335.175</v>
      </c>
      <c r="E7" s="60">
        <f t="shared" si="4"/>
        <v>0</v>
      </c>
      <c r="F7" s="60">
        <f t="shared" si="15"/>
        <v>1117247.587</v>
      </c>
      <c r="G7" s="60">
        <f t="shared" si="5"/>
        <v>0</v>
      </c>
      <c r="H7" s="60">
        <f t="shared" si="6"/>
        <v>1218231.188</v>
      </c>
      <c r="I7" s="60">
        <f t="shared" si="7"/>
        <v>0</v>
      </c>
      <c r="K7" s="75" t="s">
        <v>23</v>
      </c>
      <c r="L7" s="82">
        <f t="shared" si="8"/>
        <v>0</v>
      </c>
      <c r="M7" s="82">
        <f t="shared" si="9"/>
        <v>0</v>
      </c>
      <c r="N7" s="82">
        <f t="shared" si="10"/>
        <v>-20531.75</v>
      </c>
      <c r="O7" s="82">
        <f t="shared" si="11"/>
        <v>0</v>
      </c>
      <c r="P7" s="82">
        <f t="shared" si="12"/>
        <v>69320.83667</v>
      </c>
      <c r="Q7" s="82">
        <f t="shared" si="13"/>
        <v>0</v>
      </c>
      <c r="R7" s="32">
        <f t="shared" si="14"/>
        <v>124553.637</v>
      </c>
      <c r="S7" s="32">
        <f>Global!M7</f>
        <v>0.016</v>
      </c>
      <c r="U7" s="113" t="s">
        <v>177</v>
      </c>
      <c r="V7" s="114">
        <f>G$31</f>
        <v>-4683.27904</v>
      </c>
      <c r="W7" s="115">
        <f>((G$31-G$32)/G$32)+100%</f>
        <v>-0.04108139509</v>
      </c>
      <c r="X7" s="96">
        <f>(G$32+(G$32*W7))-G$32</f>
        <v>-4683.27904</v>
      </c>
    </row>
    <row r="8">
      <c r="A8" s="75" t="s">
        <v>24</v>
      </c>
      <c r="B8" s="60">
        <f t="shared" si="1"/>
        <v>0</v>
      </c>
      <c r="C8" s="60">
        <f t="shared" si="2"/>
        <v>0</v>
      </c>
      <c r="D8" s="60">
        <f t="shared" si="3"/>
        <v>123984.1125</v>
      </c>
      <c r="E8" s="83">
        <v>617425.8</v>
      </c>
      <c r="F8" s="60">
        <f t="shared" si="15"/>
        <v>1142390.873</v>
      </c>
      <c r="G8" s="60">
        <f t="shared" si="5"/>
        <v>0</v>
      </c>
      <c r="H8" s="60">
        <f t="shared" si="6"/>
        <v>1290584.669</v>
      </c>
      <c r="I8" s="60">
        <f t="shared" si="7"/>
        <v>0</v>
      </c>
      <c r="K8" s="75" t="s">
        <v>24</v>
      </c>
      <c r="L8" s="82">
        <f t="shared" si="8"/>
        <v>0</v>
      </c>
      <c r="M8" s="82">
        <f t="shared" si="9"/>
        <v>0</v>
      </c>
      <c r="N8" s="82">
        <f t="shared" si="10"/>
        <v>-4882.812475</v>
      </c>
      <c r="O8" s="82">
        <f t="shared" si="11"/>
        <v>0</v>
      </c>
      <c r="P8" s="82">
        <f t="shared" si="12"/>
        <v>94464.12328</v>
      </c>
      <c r="Q8" s="82">
        <f t="shared" si="13"/>
        <v>0</v>
      </c>
      <c r="R8" s="32">
        <f t="shared" si="14"/>
        <v>196907.1178</v>
      </c>
      <c r="S8" s="32">
        <f>Global!M8</f>
        <v>0.02</v>
      </c>
      <c r="U8" s="116" t="s">
        <v>72</v>
      </c>
      <c r="V8" s="114">
        <f>H$31</f>
        <v>134154.2786</v>
      </c>
      <c r="W8" s="115">
        <f>((H$31-H$32)/H$32)+100%</f>
        <v>0.1219584351</v>
      </c>
      <c r="X8" s="96">
        <f>(H$32+(H$32*W8))-H$32</f>
        <v>134154.2786</v>
      </c>
    </row>
    <row r="9">
      <c r="A9" s="75" t="s">
        <v>25</v>
      </c>
      <c r="B9" s="60">
        <f t="shared" si="1"/>
        <v>0</v>
      </c>
      <c r="C9" s="60">
        <f t="shared" si="2"/>
        <v>0</v>
      </c>
      <c r="D9" s="60">
        <f t="shared" si="3"/>
        <v>116812.7346</v>
      </c>
      <c r="E9" s="83">
        <v>0.0</v>
      </c>
      <c r="F9" s="60">
        <f t="shared" si="15"/>
        <v>1122443.935</v>
      </c>
      <c r="G9" s="60">
        <f t="shared" si="5"/>
        <v>0</v>
      </c>
      <c r="H9" s="60">
        <f t="shared" si="6"/>
        <v>1253672.264</v>
      </c>
      <c r="I9" s="60">
        <f t="shared" si="7"/>
        <v>0</v>
      </c>
      <c r="K9" s="75" t="s">
        <v>25</v>
      </c>
      <c r="L9" s="82">
        <f t="shared" si="8"/>
        <v>0</v>
      </c>
      <c r="M9" s="82">
        <f t="shared" si="9"/>
        <v>0</v>
      </c>
      <c r="N9" s="82">
        <f t="shared" si="10"/>
        <v>-12054.19043</v>
      </c>
      <c r="O9" s="82">
        <f t="shared" si="11"/>
        <v>0</v>
      </c>
      <c r="P9" s="82">
        <f t="shared" si="12"/>
        <v>74517.18545</v>
      </c>
      <c r="Q9" s="82">
        <f t="shared" si="13"/>
        <v>0</v>
      </c>
      <c r="R9" s="32">
        <f t="shared" si="14"/>
        <v>159994.7128</v>
      </c>
      <c r="S9" s="32" t="str">
        <f>Global!M9</f>
        <v/>
      </c>
      <c r="U9" s="117" t="s">
        <v>129</v>
      </c>
      <c r="V9" s="118">
        <f>Global!L2</f>
        <v>0.01610311998</v>
      </c>
      <c r="W9" s="102"/>
    </row>
    <row r="10">
      <c r="A10" s="75" t="s">
        <v>26</v>
      </c>
      <c r="B10" s="60">
        <f t="shared" si="1"/>
        <v>0</v>
      </c>
      <c r="C10" s="60">
        <f t="shared" si="2"/>
        <v>0</v>
      </c>
      <c r="D10" s="60">
        <f t="shared" si="3"/>
        <v>116812.7346</v>
      </c>
      <c r="E10" s="83">
        <v>0.0</v>
      </c>
      <c r="F10" s="60">
        <f t="shared" si="15"/>
        <v>1122443.935</v>
      </c>
      <c r="G10" s="60">
        <f t="shared" si="5"/>
        <v>0</v>
      </c>
      <c r="H10" s="60">
        <f t="shared" si="6"/>
        <v>1253672.264</v>
      </c>
      <c r="I10" s="60">
        <f t="shared" si="7"/>
        <v>0</v>
      </c>
      <c r="K10" s="75" t="s">
        <v>26</v>
      </c>
      <c r="L10" s="82">
        <f t="shared" si="8"/>
        <v>0</v>
      </c>
      <c r="M10" s="82">
        <f t="shared" si="9"/>
        <v>0</v>
      </c>
      <c r="N10" s="82">
        <f t="shared" si="10"/>
        <v>-12054.19043</v>
      </c>
      <c r="O10" s="82">
        <f t="shared" si="11"/>
        <v>0</v>
      </c>
      <c r="P10" s="82">
        <f t="shared" si="12"/>
        <v>74517.18545</v>
      </c>
      <c r="Q10" s="82">
        <f t="shared" si="13"/>
        <v>0</v>
      </c>
      <c r="R10" s="32">
        <f t="shared" si="14"/>
        <v>159994.7128</v>
      </c>
      <c r="S10" s="32" t="str">
        <f>Global!M10</f>
        <v/>
      </c>
    </row>
    <row r="11">
      <c r="A11" s="75" t="s">
        <v>27</v>
      </c>
      <c r="B11" s="60">
        <f t="shared" si="1"/>
        <v>0</v>
      </c>
      <c r="C11" s="60">
        <f t="shared" si="2"/>
        <v>0</v>
      </c>
      <c r="D11" s="60">
        <f t="shared" si="3"/>
        <v>0</v>
      </c>
      <c r="E11" s="83">
        <v>0.0</v>
      </c>
      <c r="F11" s="60">
        <f t="shared" si="15"/>
        <v>0</v>
      </c>
      <c r="G11" s="60">
        <f t="shared" si="5"/>
        <v>0</v>
      </c>
      <c r="H11" s="83">
        <v>0.0</v>
      </c>
      <c r="I11" s="60">
        <f t="shared" si="7"/>
        <v>0</v>
      </c>
      <c r="K11" s="75" t="s">
        <v>27</v>
      </c>
      <c r="L11" s="82">
        <f t="shared" si="8"/>
        <v>0</v>
      </c>
      <c r="M11" s="82">
        <f t="shared" si="9"/>
        <v>0</v>
      </c>
      <c r="N11" s="82">
        <f t="shared" si="10"/>
        <v>0</v>
      </c>
      <c r="O11" s="82">
        <f t="shared" si="11"/>
        <v>0</v>
      </c>
      <c r="P11" s="82">
        <f t="shared" si="12"/>
        <v>0</v>
      </c>
      <c r="Q11" s="82">
        <f t="shared" si="13"/>
        <v>0</v>
      </c>
      <c r="R11" s="32">
        <f t="shared" si="14"/>
        <v>0</v>
      </c>
      <c r="S11" s="32" t="str">
        <f>Global!M11</f>
        <v/>
      </c>
    </row>
    <row r="12">
      <c r="A12" s="75" t="s">
        <v>28</v>
      </c>
      <c r="B12" s="60">
        <f t="shared" si="1"/>
        <v>0</v>
      </c>
      <c r="C12" s="60">
        <f t="shared" si="2"/>
        <v>0</v>
      </c>
      <c r="D12" s="60">
        <f t="shared" si="3"/>
        <v>0</v>
      </c>
      <c r="E12" s="83">
        <v>0.0</v>
      </c>
      <c r="F12" s="60">
        <f t="shared" si="15"/>
        <v>0</v>
      </c>
      <c r="G12" s="60">
        <f t="shared" si="5"/>
        <v>0</v>
      </c>
      <c r="H12" s="60">
        <f t="shared" ref="H12:H13" si="17">IFERROR(VLOOKUP($H$1,INDIRECT(A12&amp;"!$A$2:$J$101"),8,FALSE),0)</f>
        <v>0</v>
      </c>
      <c r="I12" s="60">
        <f t="shared" si="7"/>
        <v>0</v>
      </c>
      <c r="K12" s="75" t="s">
        <v>28</v>
      </c>
      <c r="L12" s="82">
        <f t="shared" si="8"/>
        <v>0</v>
      </c>
      <c r="M12" s="82">
        <f t="shared" si="9"/>
        <v>0</v>
      </c>
      <c r="N12" s="82">
        <f t="shared" si="10"/>
        <v>0</v>
      </c>
      <c r="O12" s="82">
        <f t="shared" si="11"/>
        <v>0</v>
      </c>
      <c r="P12" s="82">
        <f t="shared" si="12"/>
        <v>0</v>
      </c>
      <c r="Q12" s="82">
        <f t="shared" si="13"/>
        <v>0</v>
      </c>
      <c r="R12" s="32">
        <f t="shared" si="14"/>
        <v>0</v>
      </c>
      <c r="S12" s="32" t="str">
        <f>Global!M12</f>
        <v/>
      </c>
    </row>
    <row r="13">
      <c r="A13" s="75" t="s">
        <v>29</v>
      </c>
      <c r="B13" s="60">
        <f t="shared" si="1"/>
        <v>0</v>
      </c>
      <c r="C13" s="60">
        <f t="shared" si="2"/>
        <v>0</v>
      </c>
      <c r="D13" s="60">
        <f t="shared" si="3"/>
        <v>0</v>
      </c>
      <c r="E13" s="60">
        <f t="shared" ref="E13:F13" si="16">IFERROR(VLOOKUP($E$1,INDIRECT(A13&amp;"!$A$2:$J$101"),8,FALSE),0)</f>
        <v>0</v>
      </c>
      <c r="F13" s="60">
        <f t="shared" si="16"/>
        <v>0</v>
      </c>
      <c r="G13" s="60">
        <f t="shared" si="5"/>
        <v>0</v>
      </c>
      <c r="H13" s="60">
        <f t="shared" si="17"/>
        <v>0</v>
      </c>
      <c r="I13" s="60">
        <f t="shared" si="7"/>
        <v>0</v>
      </c>
      <c r="K13" s="75" t="s">
        <v>29</v>
      </c>
      <c r="L13" s="82">
        <f t="shared" si="8"/>
        <v>0</v>
      </c>
      <c r="M13" s="82">
        <f t="shared" si="9"/>
        <v>0</v>
      </c>
      <c r="N13" s="82">
        <f t="shared" si="10"/>
        <v>0</v>
      </c>
      <c r="O13" s="82">
        <f t="shared" si="11"/>
        <v>0</v>
      </c>
      <c r="P13" s="82">
        <f t="shared" si="12"/>
        <v>0</v>
      </c>
      <c r="Q13" s="82">
        <f t="shared" si="13"/>
        <v>0</v>
      </c>
      <c r="R13" s="32">
        <f t="shared" si="14"/>
        <v>0</v>
      </c>
      <c r="S13" s="32" t="str">
        <f>Global!M13</f>
        <v/>
      </c>
    </row>
    <row r="14">
      <c r="A14" s="119" t="s">
        <v>10</v>
      </c>
      <c r="B14" s="109">
        <f t="shared" ref="B14:I14" si="18">SUM(B2:B13)</f>
        <v>0</v>
      </c>
      <c r="C14" s="109">
        <f t="shared" si="18"/>
        <v>0</v>
      </c>
      <c r="D14" s="109">
        <f t="shared" si="18"/>
        <v>1063643.649</v>
      </c>
      <c r="E14" s="109">
        <f t="shared" si="18"/>
        <v>617425.8</v>
      </c>
      <c r="F14" s="109">
        <f t="shared" si="18"/>
        <v>7770407.414</v>
      </c>
      <c r="G14" s="109">
        <f t="shared" si="18"/>
        <v>0</v>
      </c>
      <c r="H14" s="109">
        <f t="shared" si="18"/>
        <v>11078793.96</v>
      </c>
      <c r="I14" s="109">
        <f t="shared" si="18"/>
        <v>0</v>
      </c>
      <c r="K14" s="84" t="s">
        <v>139</v>
      </c>
      <c r="L14" s="86">
        <f t="shared" ref="L14:S14" si="19">AVERAGE(L2:L13)</f>
        <v>0</v>
      </c>
      <c r="M14" s="86">
        <f t="shared" si="19"/>
        <v>0</v>
      </c>
      <c r="N14" s="86">
        <f t="shared" si="19"/>
        <v>-8013.222978</v>
      </c>
      <c r="O14" s="86">
        <f t="shared" si="19"/>
        <v>0</v>
      </c>
      <c r="P14" s="86">
        <f t="shared" si="19"/>
        <v>36243.34701</v>
      </c>
      <c r="Q14" s="86">
        <f t="shared" si="19"/>
        <v>0</v>
      </c>
      <c r="R14" s="86">
        <f t="shared" si="19"/>
        <v>102974.6669</v>
      </c>
      <c r="S14" s="86">
        <f t="shared" si="19"/>
        <v>0.02245714286</v>
      </c>
    </row>
    <row r="15">
      <c r="K15" s="120" t="s">
        <v>140</v>
      </c>
      <c r="L15" s="86">
        <f t="shared" ref="L15:S15" si="20">SUM(L2:L13)</f>
        <v>0</v>
      </c>
      <c r="M15" s="86">
        <f t="shared" si="20"/>
        <v>0</v>
      </c>
      <c r="N15" s="86">
        <f t="shared" si="20"/>
        <v>-96158.67573</v>
      </c>
      <c r="O15" s="86">
        <f t="shared" si="20"/>
        <v>0</v>
      </c>
      <c r="P15" s="86">
        <f t="shared" si="20"/>
        <v>434920.1642</v>
      </c>
      <c r="Q15" s="86">
        <f t="shared" si="20"/>
        <v>0</v>
      </c>
      <c r="R15" s="86">
        <f t="shared" si="20"/>
        <v>1235696.002</v>
      </c>
      <c r="S15" s="86">
        <f t="shared" si="20"/>
        <v>0.1572</v>
      </c>
    </row>
    <row r="17">
      <c r="A17" s="90" t="s">
        <v>40</v>
      </c>
      <c r="B17" s="91"/>
      <c r="C17" s="91"/>
      <c r="D17" s="91"/>
      <c r="E17" s="91"/>
      <c r="F17" s="91"/>
      <c r="G17" s="91"/>
      <c r="H17" s="91"/>
      <c r="I17" s="73"/>
    </row>
    <row r="18">
      <c r="A18" s="93" t="s">
        <v>0</v>
      </c>
      <c r="B18" s="110" t="s">
        <v>174</v>
      </c>
      <c r="C18" s="110" t="s">
        <v>175</v>
      </c>
      <c r="D18" s="110" t="s">
        <v>73</v>
      </c>
      <c r="E18" s="111" t="s">
        <v>176</v>
      </c>
      <c r="F18" s="110" t="s">
        <v>84</v>
      </c>
      <c r="G18" s="110" t="s">
        <v>177</v>
      </c>
      <c r="H18" s="110" t="s">
        <v>72</v>
      </c>
      <c r="I18" s="110" t="s">
        <v>178</v>
      </c>
    </row>
    <row r="19">
      <c r="A19" s="75" t="s">
        <v>16</v>
      </c>
      <c r="B19" s="96">
        <v>-3865.5800000000017</v>
      </c>
      <c r="C19" s="96">
        <v>2035.278319999983</v>
      </c>
      <c r="D19" s="96">
        <v>4756.0</v>
      </c>
      <c r="E19" s="98">
        <v>0.0</v>
      </c>
      <c r="F19" s="96">
        <v>743.460000000021</v>
      </c>
      <c r="G19" s="98">
        <v>0.0</v>
      </c>
      <c r="H19" s="98">
        <v>0.0</v>
      </c>
      <c r="I19" s="60">
        <v>0.0</v>
      </c>
    </row>
    <row r="20">
      <c r="A20" s="75" t="s">
        <v>17</v>
      </c>
      <c r="B20" s="98">
        <v>0.0</v>
      </c>
      <c r="C20" s="96">
        <v>22798.275679999962</v>
      </c>
      <c r="D20" s="96">
        <v>-9724.0</v>
      </c>
      <c r="E20" s="98">
        <v>0.0</v>
      </c>
      <c r="F20" s="98">
        <v>0.0</v>
      </c>
      <c r="G20" s="96">
        <v>0.0</v>
      </c>
      <c r="H20" s="96">
        <v>0.0</v>
      </c>
      <c r="I20" s="60">
        <v>0.0</v>
      </c>
    </row>
    <row r="21">
      <c r="A21" s="75" t="s">
        <v>18</v>
      </c>
      <c r="B21" s="96">
        <v>0.0</v>
      </c>
      <c r="C21" s="98">
        <v>0.0</v>
      </c>
      <c r="D21" s="96">
        <v>20000.0</v>
      </c>
      <c r="E21" s="96">
        <v>0.0</v>
      </c>
      <c r="F21" s="96">
        <v>0.0</v>
      </c>
      <c r="G21" s="96">
        <v>0.0</v>
      </c>
      <c r="H21" s="96">
        <v>0.0</v>
      </c>
      <c r="I21" s="60">
        <v>0.0</v>
      </c>
    </row>
    <row r="22">
      <c r="A22" s="75" t="s">
        <v>20</v>
      </c>
      <c r="B22" s="96">
        <v>0.0</v>
      </c>
      <c r="C22" s="96">
        <v>0.0</v>
      </c>
      <c r="D22" s="96">
        <v>2820.0</v>
      </c>
      <c r="E22" s="96">
        <v>0.0</v>
      </c>
      <c r="F22" s="96">
        <v>0.0</v>
      </c>
      <c r="G22" s="96">
        <v>-5331.440000000002</v>
      </c>
      <c r="H22" s="96">
        <v>0.0</v>
      </c>
      <c r="I22" s="60">
        <v>0.0</v>
      </c>
    </row>
    <row r="23">
      <c r="A23" s="75" t="s">
        <v>22</v>
      </c>
      <c r="B23" s="96">
        <v>0.0</v>
      </c>
      <c r="C23" s="96">
        <v>0.0</v>
      </c>
      <c r="D23" s="96">
        <v>15040.0</v>
      </c>
      <c r="E23" s="96">
        <v>47862.33432519995</v>
      </c>
      <c r="F23" s="96">
        <v>0.0</v>
      </c>
      <c r="G23" s="96">
        <v>-2286.158079999994</v>
      </c>
      <c r="H23" s="96">
        <v>134154.27856</v>
      </c>
      <c r="I23" s="60">
        <v>0.0</v>
      </c>
    </row>
    <row r="24">
      <c r="A24" s="75" t="s">
        <v>23</v>
      </c>
      <c r="B24" s="96">
        <v>0.0</v>
      </c>
      <c r="C24" s="96">
        <v>0.0</v>
      </c>
      <c r="D24" s="96">
        <v>21901.95000000001</v>
      </c>
      <c r="E24" s="98">
        <v>21545.64967479999</v>
      </c>
      <c r="F24" s="96">
        <v>0.0</v>
      </c>
      <c r="G24" s="96">
        <v>2934.319040000002</v>
      </c>
      <c r="H24" s="98">
        <f>H7-H6</f>
        <v>-35441.07578</v>
      </c>
      <c r="I24" s="60">
        <v>0.0</v>
      </c>
    </row>
    <row r="25">
      <c r="A25" s="75" t="s">
        <v>24</v>
      </c>
      <c r="B25" s="96">
        <f t="shared" ref="B25:B30" si="22">B8-B7</f>
        <v>0</v>
      </c>
      <c r="C25" s="96">
        <f t="shared" ref="C25:C30" si="23">C7-C6</f>
        <v>0</v>
      </c>
      <c r="D25" s="96">
        <f t="shared" ref="D25:D26" si="24">D8-D7</f>
        <v>15648.93753</v>
      </c>
      <c r="E25" s="98">
        <v>0.0</v>
      </c>
      <c r="F25" s="96">
        <f t="shared" ref="F25:H25" si="21">F8-F7</f>
        <v>25143.28661</v>
      </c>
      <c r="G25" s="96">
        <f t="shared" si="21"/>
        <v>0</v>
      </c>
      <c r="H25" s="98">
        <f t="shared" si="21"/>
        <v>72353.48077</v>
      </c>
      <c r="I25" s="60">
        <f t="shared" ref="I25:I30" si="26">IFERROR(VLOOKUP($I$1,INDIRECT(B25&amp;"!$A$2:$J$101"),8,FALSE),0)</f>
        <v>0</v>
      </c>
      <c r="L25" s="51"/>
    </row>
    <row r="26">
      <c r="A26" s="75" t="s">
        <v>25</v>
      </c>
      <c r="B26" s="96">
        <f t="shared" si="22"/>
        <v>0</v>
      </c>
      <c r="C26" s="96">
        <f t="shared" si="23"/>
        <v>0</v>
      </c>
      <c r="D26" s="96">
        <f t="shared" si="24"/>
        <v>-7171.37795</v>
      </c>
      <c r="E26" s="98">
        <v>0.0</v>
      </c>
      <c r="F26" s="96">
        <f t="shared" ref="F26:H26" si="25">F9-F8</f>
        <v>-19946.93783</v>
      </c>
      <c r="G26" s="96">
        <f t="shared" si="25"/>
        <v>0</v>
      </c>
      <c r="H26" s="98">
        <f t="shared" si="25"/>
        <v>-36912.405</v>
      </c>
      <c r="I26" s="60">
        <f t="shared" si="26"/>
        <v>0</v>
      </c>
    </row>
    <row r="27">
      <c r="A27" s="75" t="s">
        <v>26</v>
      </c>
      <c r="B27" s="96">
        <f t="shared" si="22"/>
        <v>0</v>
      </c>
      <c r="C27" s="96">
        <f t="shared" si="23"/>
        <v>0</v>
      </c>
      <c r="D27" s="96"/>
      <c r="E27" s="96"/>
      <c r="F27" s="96"/>
      <c r="G27" s="96"/>
      <c r="H27" s="98">
        <f>H10-H9</f>
        <v>0</v>
      </c>
      <c r="I27" s="60">
        <f t="shared" si="26"/>
        <v>0</v>
      </c>
    </row>
    <row r="28">
      <c r="A28" s="75" t="s">
        <v>27</v>
      </c>
      <c r="B28" s="96">
        <f t="shared" si="22"/>
        <v>0</v>
      </c>
      <c r="C28" s="96">
        <f t="shared" si="23"/>
        <v>0</v>
      </c>
      <c r="D28" s="96">
        <f t="shared" ref="D28:G28" si="27">D11-D10</f>
        <v>-116812.7346</v>
      </c>
      <c r="E28" s="96">
        <f t="shared" si="27"/>
        <v>0</v>
      </c>
      <c r="F28" s="96">
        <f t="shared" si="27"/>
        <v>-1122443.935</v>
      </c>
      <c r="G28" s="96">
        <f t="shared" si="27"/>
        <v>0</v>
      </c>
      <c r="H28" s="98">
        <v>0.0</v>
      </c>
      <c r="I28" s="60">
        <f t="shared" si="26"/>
        <v>0</v>
      </c>
    </row>
    <row r="29">
      <c r="A29" s="75" t="s">
        <v>28</v>
      </c>
      <c r="B29" s="96">
        <f t="shared" si="22"/>
        <v>0</v>
      </c>
      <c r="C29" s="96">
        <f t="shared" si="23"/>
        <v>0</v>
      </c>
      <c r="D29" s="96">
        <f t="shared" ref="D29:H29" si="28">D12-D11</f>
        <v>0</v>
      </c>
      <c r="E29" s="96">
        <f t="shared" si="28"/>
        <v>0</v>
      </c>
      <c r="F29" s="96">
        <f t="shared" si="28"/>
        <v>0</v>
      </c>
      <c r="G29" s="96">
        <f t="shared" si="28"/>
        <v>0</v>
      </c>
      <c r="H29" s="96">
        <f t="shared" si="28"/>
        <v>0</v>
      </c>
      <c r="I29" s="60">
        <f t="shared" si="26"/>
        <v>0</v>
      </c>
    </row>
    <row r="30">
      <c r="A30" s="75" t="s">
        <v>29</v>
      </c>
      <c r="B30" s="96">
        <f t="shared" si="22"/>
        <v>0</v>
      </c>
      <c r="C30" s="96">
        <f t="shared" si="23"/>
        <v>0</v>
      </c>
      <c r="D30" s="96">
        <f t="shared" ref="D30:H30" si="29">D13-D12</f>
        <v>0</v>
      </c>
      <c r="E30" s="96">
        <f t="shared" si="29"/>
        <v>0</v>
      </c>
      <c r="F30" s="96">
        <f t="shared" si="29"/>
        <v>0</v>
      </c>
      <c r="G30" s="96">
        <f t="shared" si="29"/>
        <v>0</v>
      </c>
      <c r="H30" s="96">
        <f t="shared" si="29"/>
        <v>0</v>
      </c>
      <c r="I30" s="60">
        <f t="shared" si="26"/>
        <v>0</v>
      </c>
    </row>
    <row r="31">
      <c r="A31" s="103" t="s">
        <v>10</v>
      </c>
      <c r="B31" s="103">
        <f t="shared" ref="B31:I31" si="30">SUM(B19:B30)</f>
        <v>-3865.58</v>
      </c>
      <c r="C31" s="103">
        <f t="shared" si="30"/>
        <v>24833.554</v>
      </c>
      <c r="D31" s="103">
        <f t="shared" si="30"/>
        <v>-53541.225</v>
      </c>
      <c r="E31" s="103">
        <f t="shared" si="30"/>
        <v>69407.984</v>
      </c>
      <c r="F31" s="103">
        <f t="shared" si="30"/>
        <v>-1116504.127</v>
      </c>
      <c r="G31" s="103">
        <f t="shared" si="30"/>
        <v>-4683.27904</v>
      </c>
      <c r="H31" s="103">
        <f t="shared" si="30"/>
        <v>134154.2786</v>
      </c>
      <c r="I31" s="109">
        <f t="shared" si="30"/>
        <v>0</v>
      </c>
    </row>
    <row r="32">
      <c r="A32" s="103" t="s">
        <v>164</v>
      </c>
      <c r="B32" s="103">
        <v>109026.78</v>
      </c>
      <c r="C32" s="104">
        <v>290132.83</v>
      </c>
      <c r="D32" s="104">
        <v>44000.0</v>
      </c>
      <c r="E32" s="104">
        <v>617622.36</v>
      </c>
      <c r="F32" s="104">
        <v>240000.0</v>
      </c>
      <c r="G32" s="104">
        <v>114000.0</v>
      </c>
      <c r="H32" s="103">
        <v>1100000.0</v>
      </c>
      <c r="I32" s="103">
        <v>619063.54</v>
      </c>
    </row>
    <row r="39">
      <c r="C39" s="121"/>
    </row>
    <row r="56">
      <c r="F56" s="97">
        <v>1217862.3343252</v>
      </c>
      <c r="G56" s="97">
        <f>F56-F57</f>
        <v>47862.33433</v>
      </c>
    </row>
    <row r="57">
      <c r="F57" s="103">
        <v>1170000.0</v>
      </c>
    </row>
  </sheetData>
  <mergeCells count="2">
    <mergeCell ref="V9:W9"/>
    <mergeCell ref="A17:I1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8.38"/>
    <col customWidth="1" min="4" max="5" width="9.38"/>
    <col customWidth="1" min="6" max="6" width="8.38"/>
    <col customWidth="1" min="7" max="7" width="9.38"/>
    <col customWidth="1" min="8" max="8" width="17.75"/>
    <col customWidth="1" min="9" max="9" width="9.38"/>
    <col customWidth="1" min="10" max="10" width="6.13"/>
    <col customWidth="1" min="11" max="11" width="10.13"/>
    <col customWidth="1" min="12" max="12" width="14.13"/>
    <col customWidth="1" min="13" max="13" width="8.38"/>
    <col customWidth="1" min="14" max="14" width="13.38"/>
    <col customWidth="1" min="15" max="15" width="7.5"/>
    <col customWidth="1" min="16" max="20" width="9.88"/>
    <col customWidth="1" min="21" max="21" width="15.0"/>
  </cols>
  <sheetData>
    <row r="1">
      <c r="A1" s="75" t="s">
        <v>0</v>
      </c>
      <c r="B1" s="76" t="s">
        <v>55</v>
      </c>
      <c r="C1" s="76" t="s">
        <v>56</v>
      </c>
      <c r="D1" s="76" t="s">
        <v>57</v>
      </c>
      <c r="E1" s="76" t="s">
        <v>179</v>
      </c>
      <c r="F1" s="76" t="s">
        <v>180</v>
      </c>
      <c r="G1" s="76" t="s">
        <v>181</v>
      </c>
      <c r="H1" s="76" t="s">
        <v>182</v>
      </c>
      <c r="I1" s="76" t="s">
        <v>183</v>
      </c>
      <c r="K1" s="75" t="s">
        <v>0</v>
      </c>
      <c r="L1" s="76" t="s">
        <v>55</v>
      </c>
      <c r="M1" s="76" t="s">
        <v>56</v>
      </c>
      <c r="N1" s="76" t="s">
        <v>57</v>
      </c>
      <c r="O1" s="76" t="s">
        <v>179</v>
      </c>
      <c r="P1" s="76" t="s">
        <v>180</v>
      </c>
      <c r="Q1" s="76" t="s">
        <v>181</v>
      </c>
      <c r="R1" s="76" t="s">
        <v>182</v>
      </c>
      <c r="S1" s="76" t="s">
        <v>183</v>
      </c>
      <c r="T1" s="76" t="s">
        <v>129</v>
      </c>
      <c r="V1" s="105" t="s">
        <v>140</v>
      </c>
      <c r="W1" s="73"/>
    </row>
    <row r="2">
      <c r="A2" s="75" t="s">
        <v>16</v>
      </c>
      <c r="B2" s="83">
        <f t="shared" ref="B2:B13" si="1">IFERROR(VLOOKUP($B$1,INDIRECT(A2&amp;"!$A$2:$J$101"),8,FALSE),0)</f>
        <v>49320</v>
      </c>
      <c r="C2" s="83">
        <f t="shared" ref="C2:C13" si="2">IFERROR(VLOOKUP($C$1,INDIRECT(A2&amp;"!$A$2:$J$101"),8,FALSE),0)</f>
        <v>49800</v>
      </c>
      <c r="D2" s="83">
        <f t="shared" ref="D2:D13" si="3">IFERROR(VLOOKUP($D$1,INDIRECT(A2&amp;"!$A$2:$J$101"),8,FALSE),0)</f>
        <v>126488</v>
      </c>
      <c r="E2" s="83">
        <f t="shared" ref="E2:E13" si="4">IFERROR(VLOOKUP($E$1,INDIRECT(A2&amp;"!$A$2:$J$101"),8,FALSE),0)</f>
        <v>0</v>
      </c>
      <c r="F2" s="83">
        <f t="shared" ref="F2:F13" si="5">IFERROR(VLOOKUP($F$1,INDIRECT(A2&amp;"!$A$2:$J$101"),8,FALSE),0)</f>
        <v>0</v>
      </c>
      <c r="G2" s="83">
        <f t="shared" ref="G2:G13" si="6">IFERROR(VLOOKUP($G$1,INDIRECT(A2&amp;"!$A$2:$J$101"),8,FALSE),0)</f>
        <v>0</v>
      </c>
      <c r="H2" s="83">
        <f t="array" ref="H2">IFERROR(VLOOKUP($I$1,INDIRECT(A2&amp;"!$A$2:$J$101"),8,FALSE),0)</f>
        <v>0</v>
      </c>
      <c r="I2" s="83">
        <f t="shared" ref="I2:I13" si="7">IFERROR(VLOOKUP($H$1,INDIRECT(A2&amp;"!$A$2:$J$101"),8,FALSE),0)</f>
        <v>0</v>
      </c>
      <c r="K2" s="75" t="s">
        <v>16</v>
      </c>
      <c r="L2" s="32">
        <f t="shared" ref="L2:L13" si="8">IFERROR(VLOOKUP($L$1,INDIRECT(A2&amp;"!$A$2:$J$101"),9,FALSE),0)</f>
        <v>4920</v>
      </c>
      <c r="M2" s="32">
        <f t="shared" ref="M2:M13" si="9">IFERROR(VLOOKUP($M$1,INDIRECT(A2&amp;"!$A$2:$J$101"),9,FALSE),0)</f>
        <v>240</v>
      </c>
      <c r="N2" s="32">
        <f t="shared" ref="N2:N13" si="10">IFERROR(VLOOKUP($N$1,INDIRECT(A2&amp;"!$A$2:$J$101"),9,FALSE),0)</f>
        <v>978</v>
      </c>
      <c r="O2" s="32">
        <f t="shared" ref="O2:O13" si="11">IFERROR(VLOOKUP($O$1,INDIRECT(A2&amp;"!$A$2:$J$101"),9,FALSE),0)</f>
        <v>0</v>
      </c>
      <c r="P2" s="32">
        <f t="shared" ref="P2:P13" si="12">IFERROR(VLOOKUP($P$1,INDIRECT(A2&amp;"!$A$2:$J$101"),9,FALSE),0)</f>
        <v>0</v>
      </c>
      <c r="Q2" s="32">
        <f t="shared" ref="Q2:Q13" si="13">IFERROR(VLOOKUP($Q$1,INDIRECT(A2&amp;"!$A$2:$J$101"),9,FALSE),0)</f>
        <v>0</v>
      </c>
      <c r="R2" s="32">
        <f t="shared" ref="R2:R13" si="14">IFERROR(VLOOKUP($R$1,INDIRECT(A2&amp;"!$A$2:$J$101"),9,FALSE),0)</f>
        <v>0</v>
      </c>
      <c r="S2" s="32">
        <f t="shared" ref="S2:S13" si="15">IFERROR(VLOOKUP($S$1,INDIRECT(A2&amp;"!$A$2:$J$101"),9,FALSE),0)</f>
        <v>0</v>
      </c>
      <c r="T2" s="32">
        <f>Global!M2</f>
        <v>0.022</v>
      </c>
      <c r="V2" s="76" t="s">
        <v>55</v>
      </c>
      <c r="W2" s="106">
        <f>L15</f>
        <v>59160</v>
      </c>
    </row>
    <row r="3">
      <c r="A3" s="75" t="s">
        <v>17</v>
      </c>
      <c r="B3" s="83">
        <f t="shared" si="1"/>
        <v>50160</v>
      </c>
      <c r="C3" s="83">
        <f t="shared" si="2"/>
        <v>51840</v>
      </c>
      <c r="D3" s="83">
        <f t="shared" si="3"/>
        <v>132030</v>
      </c>
      <c r="E3" s="83">
        <f t="shared" si="4"/>
        <v>0</v>
      </c>
      <c r="F3" s="83">
        <f t="shared" si="5"/>
        <v>0</v>
      </c>
      <c r="G3" s="83">
        <f t="shared" si="6"/>
        <v>0</v>
      </c>
      <c r="H3" s="83">
        <f t="shared" ref="H3:H13" si="16">IFERROR(VLOOKUP($H$1,INDIRECT(A3&amp;"!$A$2:$J$101"),8,FALSE),0)</f>
        <v>0</v>
      </c>
      <c r="I3" s="83">
        <f t="shared" si="7"/>
        <v>0</v>
      </c>
      <c r="K3" s="75" t="s">
        <v>17</v>
      </c>
      <c r="L3" s="32">
        <f t="shared" si="8"/>
        <v>5760</v>
      </c>
      <c r="M3" s="32">
        <f t="shared" si="9"/>
        <v>2280</v>
      </c>
      <c r="N3" s="32">
        <f t="shared" si="10"/>
        <v>6520</v>
      </c>
      <c r="O3" s="32">
        <f t="shared" si="11"/>
        <v>0</v>
      </c>
      <c r="P3" s="32">
        <f t="shared" si="12"/>
        <v>0</v>
      </c>
      <c r="Q3" s="32">
        <f t="shared" si="13"/>
        <v>0</v>
      </c>
      <c r="R3" s="32">
        <f t="shared" si="14"/>
        <v>0</v>
      </c>
      <c r="S3" s="32">
        <f t="shared" si="15"/>
        <v>0</v>
      </c>
      <c r="T3" s="32">
        <f>Global!M3</f>
        <v>0.024</v>
      </c>
      <c r="V3" s="76" t="s">
        <v>56</v>
      </c>
      <c r="W3" s="106">
        <f>M15</f>
        <v>2520</v>
      </c>
    </row>
    <row r="4">
      <c r="A4" s="75" t="s">
        <v>18</v>
      </c>
      <c r="B4" s="83">
        <f t="shared" si="1"/>
        <v>49140</v>
      </c>
      <c r="C4" s="83">
        <f t="shared" si="2"/>
        <v>0</v>
      </c>
      <c r="D4" s="83">
        <f t="shared" si="3"/>
        <v>135290</v>
      </c>
      <c r="E4" s="83">
        <f t="shared" si="4"/>
        <v>0</v>
      </c>
      <c r="F4" s="83">
        <f t="shared" si="5"/>
        <v>0</v>
      </c>
      <c r="G4" s="83">
        <f t="shared" si="6"/>
        <v>0</v>
      </c>
      <c r="H4" s="83">
        <f t="shared" si="16"/>
        <v>0</v>
      </c>
      <c r="I4" s="83">
        <f t="shared" si="7"/>
        <v>0</v>
      </c>
      <c r="K4" s="75" t="s">
        <v>18</v>
      </c>
      <c r="L4" s="32">
        <f t="shared" si="8"/>
        <v>4740</v>
      </c>
      <c r="M4" s="32">
        <f t="shared" si="9"/>
        <v>0</v>
      </c>
      <c r="N4" s="32">
        <f t="shared" si="10"/>
        <v>9780</v>
      </c>
      <c r="O4" s="32">
        <f t="shared" si="11"/>
        <v>0</v>
      </c>
      <c r="P4" s="32">
        <f t="shared" si="12"/>
        <v>0</v>
      </c>
      <c r="Q4" s="32">
        <f t="shared" si="13"/>
        <v>0</v>
      </c>
      <c r="R4" s="32">
        <f t="shared" si="14"/>
        <v>0</v>
      </c>
      <c r="S4" s="32">
        <f t="shared" si="15"/>
        <v>0</v>
      </c>
      <c r="T4" s="32">
        <f>Global!M4</f>
        <v>0.03</v>
      </c>
      <c r="V4" s="76" t="s">
        <v>57</v>
      </c>
      <c r="W4" s="106">
        <f>N15</f>
        <v>12388</v>
      </c>
    </row>
    <row r="5">
      <c r="A5" s="75" t="s">
        <v>20</v>
      </c>
      <c r="B5" s="83">
        <f t="shared" si="1"/>
        <v>49080</v>
      </c>
      <c r="C5" s="83">
        <f t="shared" si="2"/>
        <v>0</v>
      </c>
      <c r="D5" s="83">
        <f t="shared" si="3"/>
        <v>120620</v>
      </c>
      <c r="E5" s="83">
        <f t="shared" si="4"/>
        <v>0</v>
      </c>
      <c r="F5" s="83">
        <f t="shared" si="5"/>
        <v>0</v>
      </c>
      <c r="G5" s="83">
        <f t="shared" si="6"/>
        <v>0</v>
      </c>
      <c r="H5" s="83">
        <f t="shared" si="16"/>
        <v>0</v>
      </c>
      <c r="I5" s="83">
        <f t="shared" si="7"/>
        <v>0</v>
      </c>
      <c r="K5" s="75" t="s">
        <v>20</v>
      </c>
      <c r="L5" s="32">
        <f t="shared" si="8"/>
        <v>4680</v>
      </c>
      <c r="M5" s="32">
        <f t="shared" si="9"/>
        <v>0</v>
      </c>
      <c r="N5" s="32">
        <f t="shared" si="10"/>
        <v>-4890</v>
      </c>
      <c r="O5" s="32">
        <f t="shared" si="11"/>
        <v>0</v>
      </c>
      <c r="P5" s="32">
        <f t="shared" si="12"/>
        <v>0</v>
      </c>
      <c r="Q5" s="32">
        <f t="shared" si="13"/>
        <v>0</v>
      </c>
      <c r="R5" s="32">
        <f t="shared" si="14"/>
        <v>0</v>
      </c>
      <c r="S5" s="32">
        <f t="shared" si="15"/>
        <v>0</v>
      </c>
      <c r="T5" s="32">
        <f>Global!M5</f>
        <v>0.028</v>
      </c>
      <c r="V5" s="76" t="s">
        <v>179</v>
      </c>
      <c r="W5" s="106">
        <f>O15</f>
        <v>0</v>
      </c>
    </row>
    <row r="6">
      <c r="A6" s="75" t="s">
        <v>22</v>
      </c>
      <c r="B6" s="83">
        <f t="shared" si="1"/>
        <v>51180</v>
      </c>
      <c r="C6" s="83">
        <f t="shared" si="2"/>
        <v>0</v>
      </c>
      <c r="D6" s="83">
        <f t="shared" si="3"/>
        <v>0</v>
      </c>
      <c r="E6" s="83">
        <f t="shared" si="4"/>
        <v>0</v>
      </c>
      <c r="F6" s="83">
        <f t="shared" si="5"/>
        <v>0</v>
      </c>
      <c r="G6" s="83">
        <f t="shared" si="6"/>
        <v>0</v>
      </c>
      <c r="H6" s="83">
        <f t="shared" si="16"/>
        <v>0</v>
      </c>
      <c r="I6" s="83">
        <f t="shared" si="7"/>
        <v>0</v>
      </c>
      <c r="K6" s="75" t="s">
        <v>22</v>
      </c>
      <c r="L6" s="32">
        <f t="shared" si="8"/>
        <v>6780</v>
      </c>
      <c r="M6" s="32">
        <f t="shared" si="9"/>
        <v>0</v>
      </c>
      <c r="N6" s="32">
        <f t="shared" si="10"/>
        <v>0</v>
      </c>
      <c r="O6" s="32">
        <f t="shared" si="11"/>
        <v>0</v>
      </c>
      <c r="P6" s="32">
        <f t="shared" si="12"/>
        <v>0</v>
      </c>
      <c r="Q6" s="32">
        <f t="shared" si="13"/>
        <v>0</v>
      </c>
      <c r="R6" s="32">
        <f t="shared" si="14"/>
        <v>0</v>
      </c>
      <c r="S6" s="32">
        <f t="shared" si="15"/>
        <v>0</v>
      </c>
      <c r="T6" s="32">
        <f>Global!M6</f>
        <v>0.0172</v>
      </c>
      <c r="V6" s="76" t="s">
        <v>180</v>
      </c>
      <c r="W6" s="106">
        <f>P15</f>
        <v>0</v>
      </c>
    </row>
    <row r="7">
      <c r="A7" s="75" t="s">
        <v>23</v>
      </c>
      <c r="B7" s="83">
        <f t="shared" si="1"/>
        <v>52740</v>
      </c>
      <c r="C7" s="83">
        <f t="shared" si="2"/>
        <v>0</v>
      </c>
      <c r="D7" s="83">
        <f t="shared" si="3"/>
        <v>0</v>
      </c>
      <c r="E7" s="83">
        <f t="shared" si="4"/>
        <v>0</v>
      </c>
      <c r="F7" s="83">
        <f t="shared" si="5"/>
        <v>0</v>
      </c>
      <c r="G7" s="83">
        <f t="shared" si="6"/>
        <v>0</v>
      </c>
      <c r="H7" s="83">
        <f t="shared" si="16"/>
        <v>0</v>
      </c>
      <c r="I7" s="83">
        <f t="shared" si="7"/>
        <v>0</v>
      </c>
      <c r="K7" s="75" t="s">
        <v>23</v>
      </c>
      <c r="L7" s="32">
        <f t="shared" si="8"/>
        <v>8340</v>
      </c>
      <c r="M7" s="32">
        <f t="shared" si="9"/>
        <v>0</v>
      </c>
      <c r="N7" s="32">
        <f t="shared" si="10"/>
        <v>0</v>
      </c>
      <c r="O7" s="32">
        <f t="shared" si="11"/>
        <v>0</v>
      </c>
      <c r="P7" s="32">
        <f t="shared" si="12"/>
        <v>0</v>
      </c>
      <c r="Q7" s="32">
        <f t="shared" si="13"/>
        <v>0</v>
      </c>
      <c r="R7" s="32">
        <f t="shared" si="14"/>
        <v>0</v>
      </c>
      <c r="S7" s="32">
        <f t="shared" si="15"/>
        <v>0</v>
      </c>
      <c r="T7" s="32">
        <f>Global!M7</f>
        <v>0.016</v>
      </c>
      <c r="V7" s="76" t="s">
        <v>181</v>
      </c>
      <c r="W7" s="106">
        <f>Q15</f>
        <v>0</v>
      </c>
    </row>
    <row r="8">
      <c r="A8" s="75" t="s">
        <v>24</v>
      </c>
      <c r="B8" s="83">
        <f t="shared" si="1"/>
        <v>54780</v>
      </c>
      <c r="C8" s="83">
        <f t="shared" si="2"/>
        <v>0</v>
      </c>
      <c r="D8" s="83">
        <f t="shared" si="3"/>
        <v>0</v>
      </c>
      <c r="E8" s="83">
        <f t="shared" si="4"/>
        <v>0</v>
      </c>
      <c r="F8" s="83">
        <f t="shared" si="5"/>
        <v>0</v>
      </c>
      <c r="G8" s="83">
        <f t="shared" si="6"/>
        <v>0</v>
      </c>
      <c r="H8" s="83">
        <f t="shared" si="16"/>
        <v>0</v>
      </c>
      <c r="I8" s="83">
        <f t="shared" si="7"/>
        <v>0</v>
      </c>
      <c r="K8" s="75" t="s">
        <v>24</v>
      </c>
      <c r="L8" s="32">
        <f t="shared" si="8"/>
        <v>10380</v>
      </c>
      <c r="M8" s="32">
        <f t="shared" si="9"/>
        <v>0</v>
      </c>
      <c r="N8" s="32">
        <f t="shared" si="10"/>
        <v>0</v>
      </c>
      <c r="O8" s="32">
        <f t="shared" si="11"/>
        <v>0</v>
      </c>
      <c r="P8" s="32">
        <f t="shared" si="12"/>
        <v>0</v>
      </c>
      <c r="Q8" s="32">
        <f t="shared" si="13"/>
        <v>0</v>
      </c>
      <c r="R8" s="32">
        <f t="shared" si="14"/>
        <v>0</v>
      </c>
      <c r="S8" s="32">
        <f t="shared" si="15"/>
        <v>0</v>
      </c>
      <c r="T8" s="32">
        <f>Global!M8</f>
        <v>0.02</v>
      </c>
      <c r="V8" s="76" t="s">
        <v>182</v>
      </c>
      <c r="W8" s="106">
        <f>R15</f>
        <v>0</v>
      </c>
    </row>
    <row r="9">
      <c r="A9" s="75" t="s">
        <v>25</v>
      </c>
      <c r="B9" s="83">
        <f t="shared" si="1"/>
        <v>51180</v>
      </c>
      <c r="C9" s="83">
        <f t="shared" si="2"/>
        <v>0</v>
      </c>
      <c r="D9" s="83">
        <f t="shared" si="3"/>
        <v>0</v>
      </c>
      <c r="E9" s="83">
        <f t="shared" si="4"/>
        <v>0</v>
      </c>
      <c r="F9" s="83">
        <f t="shared" si="5"/>
        <v>0</v>
      </c>
      <c r="G9" s="83">
        <f t="shared" si="6"/>
        <v>0</v>
      </c>
      <c r="H9" s="83">
        <f t="shared" si="16"/>
        <v>0</v>
      </c>
      <c r="I9" s="83">
        <f t="shared" si="7"/>
        <v>0</v>
      </c>
      <c r="K9" s="75" t="s">
        <v>25</v>
      </c>
      <c r="L9" s="32">
        <f t="shared" si="8"/>
        <v>6780</v>
      </c>
      <c r="M9" s="32">
        <f t="shared" si="9"/>
        <v>0</v>
      </c>
      <c r="N9" s="32">
        <f t="shared" si="10"/>
        <v>0</v>
      </c>
      <c r="O9" s="32">
        <f t="shared" si="11"/>
        <v>0</v>
      </c>
      <c r="P9" s="32">
        <f t="shared" si="12"/>
        <v>0</v>
      </c>
      <c r="Q9" s="32">
        <f t="shared" si="13"/>
        <v>0</v>
      </c>
      <c r="R9" s="32">
        <f t="shared" si="14"/>
        <v>0</v>
      </c>
      <c r="S9" s="32">
        <f t="shared" si="15"/>
        <v>0</v>
      </c>
      <c r="T9" s="32" t="str">
        <f>Global!M9</f>
        <v/>
      </c>
      <c r="V9" s="76" t="s">
        <v>184</v>
      </c>
      <c r="W9" s="106">
        <f>S15</f>
        <v>0</v>
      </c>
    </row>
    <row r="10">
      <c r="A10" s="75" t="s">
        <v>26</v>
      </c>
      <c r="B10" s="83">
        <f t="shared" si="1"/>
        <v>51180</v>
      </c>
      <c r="C10" s="83">
        <f t="shared" si="2"/>
        <v>0</v>
      </c>
      <c r="D10" s="83">
        <f t="shared" si="3"/>
        <v>0</v>
      </c>
      <c r="E10" s="83">
        <f t="shared" si="4"/>
        <v>0</v>
      </c>
      <c r="F10" s="83">
        <f t="shared" si="5"/>
        <v>0</v>
      </c>
      <c r="G10" s="83">
        <f t="shared" si="6"/>
        <v>0</v>
      </c>
      <c r="H10" s="83">
        <f t="shared" si="16"/>
        <v>0</v>
      </c>
      <c r="I10" s="83">
        <f t="shared" si="7"/>
        <v>0</v>
      </c>
      <c r="K10" s="75" t="s">
        <v>26</v>
      </c>
      <c r="L10" s="32">
        <f t="shared" si="8"/>
        <v>6780</v>
      </c>
      <c r="M10" s="32">
        <f t="shared" si="9"/>
        <v>0</v>
      </c>
      <c r="N10" s="32">
        <f t="shared" si="10"/>
        <v>0</v>
      </c>
      <c r="O10" s="32">
        <f t="shared" si="11"/>
        <v>0</v>
      </c>
      <c r="P10" s="32">
        <f t="shared" si="12"/>
        <v>0</v>
      </c>
      <c r="Q10" s="32">
        <f t="shared" si="13"/>
        <v>0</v>
      </c>
      <c r="R10" s="32">
        <f t="shared" si="14"/>
        <v>0</v>
      </c>
      <c r="S10" s="32">
        <f t="shared" si="15"/>
        <v>0</v>
      </c>
      <c r="T10" s="32" t="str">
        <f>Global!M10</f>
        <v/>
      </c>
      <c r="V10" s="76" t="s">
        <v>129</v>
      </c>
      <c r="W10" s="106">
        <f>T15</f>
        <v>0.1572</v>
      </c>
    </row>
    <row r="11">
      <c r="A11" s="75" t="s">
        <v>27</v>
      </c>
      <c r="B11" s="83">
        <f t="shared" si="1"/>
        <v>0</v>
      </c>
      <c r="C11" s="83">
        <f t="shared" si="2"/>
        <v>0</v>
      </c>
      <c r="D11" s="83">
        <f t="shared" si="3"/>
        <v>0</v>
      </c>
      <c r="E11" s="83">
        <f t="shared" si="4"/>
        <v>0</v>
      </c>
      <c r="F11" s="83">
        <f t="shared" si="5"/>
        <v>0</v>
      </c>
      <c r="G11" s="83">
        <f t="shared" si="6"/>
        <v>0</v>
      </c>
      <c r="H11" s="83">
        <f t="shared" si="16"/>
        <v>0</v>
      </c>
      <c r="I11" s="83">
        <f t="shared" si="7"/>
        <v>0</v>
      </c>
      <c r="K11" s="75" t="s">
        <v>27</v>
      </c>
      <c r="L11" s="32">
        <f t="shared" si="8"/>
        <v>0</v>
      </c>
      <c r="M11" s="32">
        <f t="shared" si="9"/>
        <v>0</v>
      </c>
      <c r="N11" s="32">
        <f t="shared" si="10"/>
        <v>0</v>
      </c>
      <c r="O11" s="32">
        <f t="shared" si="11"/>
        <v>0</v>
      </c>
      <c r="P11" s="32">
        <f t="shared" si="12"/>
        <v>0</v>
      </c>
      <c r="Q11" s="32">
        <f t="shared" si="13"/>
        <v>0</v>
      </c>
      <c r="R11" s="32">
        <f t="shared" si="14"/>
        <v>0</v>
      </c>
      <c r="S11" s="32">
        <f t="shared" si="15"/>
        <v>0</v>
      </c>
      <c r="T11" s="32" t="str">
        <f>Global!M11</f>
        <v/>
      </c>
    </row>
    <row r="12">
      <c r="A12" s="75" t="s">
        <v>28</v>
      </c>
      <c r="B12" s="83">
        <f t="shared" si="1"/>
        <v>0</v>
      </c>
      <c r="C12" s="83">
        <f t="shared" si="2"/>
        <v>0</v>
      </c>
      <c r="D12" s="83">
        <f t="shared" si="3"/>
        <v>0</v>
      </c>
      <c r="E12" s="83">
        <f t="shared" si="4"/>
        <v>0</v>
      </c>
      <c r="F12" s="83">
        <f t="shared" si="5"/>
        <v>0</v>
      </c>
      <c r="G12" s="83">
        <f t="shared" si="6"/>
        <v>0</v>
      </c>
      <c r="H12" s="83">
        <f t="shared" si="16"/>
        <v>0</v>
      </c>
      <c r="I12" s="83">
        <f t="shared" si="7"/>
        <v>0</v>
      </c>
      <c r="K12" s="75" t="s">
        <v>28</v>
      </c>
      <c r="L12" s="32">
        <f t="shared" si="8"/>
        <v>0</v>
      </c>
      <c r="M12" s="32">
        <f t="shared" si="9"/>
        <v>0</v>
      </c>
      <c r="N12" s="32">
        <f t="shared" si="10"/>
        <v>0</v>
      </c>
      <c r="O12" s="32">
        <f t="shared" si="11"/>
        <v>0</v>
      </c>
      <c r="P12" s="32">
        <f t="shared" si="12"/>
        <v>0</v>
      </c>
      <c r="Q12" s="32">
        <f t="shared" si="13"/>
        <v>0</v>
      </c>
      <c r="R12" s="32">
        <f t="shared" si="14"/>
        <v>0</v>
      </c>
      <c r="S12" s="32">
        <f t="shared" si="15"/>
        <v>0</v>
      </c>
      <c r="T12" s="32" t="str">
        <f>Global!M12</f>
        <v/>
      </c>
    </row>
    <row r="13">
      <c r="A13" s="75" t="s">
        <v>29</v>
      </c>
      <c r="B13" s="83">
        <f t="shared" si="1"/>
        <v>0</v>
      </c>
      <c r="C13" s="83">
        <f t="shared" si="2"/>
        <v>0</v>
      </c>
      <c r="D13" s="83">
        <f t="shared" si="3"/>
        <v>0</v>
      </c>
      <c r="E13" s="83">
        <f t="shared" si="4"/>
        <v>0</v>
      </c>
      <c r="F13" s="83">
        <f t="shared" si="5"/>
        <v>0</v>
      </c>
      <c r="G13" s="83">
        <f t="shared" si="6"/>
        <v>0</v>
      </c>
      <c r="H13" s="83">
        <f t="shared" si="16"/>
        <v>0</v>
      </c>
      <c r="I13" s="83">
        <f t="shared" si="7"/>
        <v>0</v>
      </c>
      <c r="K13" s="75" t="s">
        <v>29</v>
      </c>
      <c r="L13" s="32">
        <f t="shared" si="8"/>
        <v>0</v>
      </c>
      <c r="M13" s="32">
        <f t="shared" si="9"/>
        <v>0</v>
      </c>
      <c r="N13" s="32">
        <f t="shared" si="10"/>
        <v>0</v>
      </c>
      <c r="O13" s="32">
        <f t="shared" si="11"/>
        <v>0</v>
      </c>
      <c r="P13" s="32">
        <f t="shared" si="12"/>
        <v>0</v>
      </c>
      <c r="Q13" s="32">
        <f t="shared" si="13"/>
        <v>0</v>
      </c>
      <c r="R13" s="32">
        <f t="shared" si="14"/>
        <v>0</v>
      </c>
      <c r="S13" s="32">
        <f t="shared" si="15"/>
        <v>0</v>
      </c>
      <c r="T13" s="32" t="str">
        <f>Global!M13</f>
        <v/>
      </c>
    </row>
    <row r="14">
      <c r="A14" s="84" t="s">
        <v>10</v>
      </c>
      <c r="B14" s="108">
        <f t="shared" ref="B14:I14" si="17">SUM(B2:B13)</f>
        <v>458760</v>
      </c>
      <c r="C14" s="108">
        <f t="shared" si="17"/>
        <v>101640</v>
      </c>
      <c r="D14" s="108">
        <f t="shared" si="17"/>
        <v>514428</v>
      </c>
      <c r="E14" s="109">
        <f t="shared" si="17"/>
        <v>0</v>
      </c>
      <c r="F14" s="109">
        <f t="shared" si="17"/>
        <v>0</v>
      </c>
      <c r="G14" s="109">
        <f t="shared" si="17"/>
        <v>0</v>
      </c>
      <c r="H14" s="109">
        <f t="shared" si="17"/>
        <v>0</v>
      </c>
      <c r="I14" s="109">
        <f t="shared" si="17"/>
        <v>0</v>
      </c>
      <c r="K14" s="84" t="s">
        <v>139</v>
      </c>
      <c r="L14" s="86">
        <f t="shared" ref="L14:T14" si="18">AVERAGE(L2:L13)</f>
        <v>4930</v>
      </c>
      <c r="M14" s="86">
        <f t="shared" si="18"/>
        <v>210</v>
      </c>
      <c r="N14" s="86">
        <f t="shared" si="18"/>
        <v>1032.333333</v>
      </c>
      <c r="O14" s="86">
        <f t="shared" si="18"/>
        <v>0</v>
      </c>
      <c r="P14" s="86">
        <f t="shared" si="18"/>
        <v>0</v>
      </c>
      <c r="Q14" s="86">
        <f t="shared" si="18"/>
        <v>0</v>
      </c>
      <c r="R14" s="86">
        <f t="shared" si="18"/>
        <v>0</v>
      </c>
      <c r="S14" s="86">
        <f t="shared" si="18"/>
        <v>0</v>
      </c>
      <c r="T14" s="86">
        <f t="shared" si="18"/>
        <v>0.02245714286</v>
      </c>
    </row>
    <row r="15">
      <c r="K15" s="84" t="s">
        <v>140</v>
      </c>
      <c r="L15" s="86">
        <f t="shared" ref="L15:T15" si="19">SUM(L2:L13)</f>
        <v>59160</v>
      </c>
      <c r="M15" s="86">
        <f t="shared" si="19"/>
        <v>2520</v>
      </c>
      <c r="N15" s="86">
        <f t="shared" si="19"/>
        <v>12388</v>
      </c>
      <c r="O15" s="86">
        <f t="shared" si="19"/>
        <v>0</v>
      </c>
      <c r="P15" s="86">
        <f t="shared" si="19"/>
        <v>0</v>
      </c>
      <c r="Q15" s="86">
        <f t="shared" si="19"/>
        <v>0</v>
      </c>
      <c r="R15" s="86">
        <f t="shared" si="19"/>
        <v>0</v>
      </c>
      <c r="S15" s="86">
        <f t="shared" si="19"/>
        <v>0</v>
      </c>
      <c r="T15" s="86">
        <f t="shared" si="19"/>
        <v>0.1572</v>
      </c>
    </row>
    <row r="38">
      <c r="A38" s="122"/>
    </row>
    <row r="39">
      <c r="B39" s="97"/>
      <c r="N39" s="97"/>
    </row>
    <row r="40">
      <c r="B40" s="97"/>
      <c r="N40" s="97"/>
    </row>
    <row r="41">
      <c r="B41" s="97"/>
      <c r="N41" s="97"/>
    </row>
    <row r="42">
      <c r="B42" s="97"/>
      <c r="N42" s="97"/>
    </row>
    <row r="43">
      <c r="B43" s="97"/>
      <c r="N43" s="97"/>
    </row>
  </sheetData>
  <mergeCells count="1">
    <mergeCell ref="V1:W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6.13"/>
    <col customWidth="1" min="4" max="4" width="10.13"/>
    <col customWidth="1" min="5" max="5" width="14.13"/>
    <col customWidth="1" min="6" max="6" width="10.13"/>
    <col customWidth="1" min="7" max="7" width="6.75"/>
    <col customWidth="1" min="8" max="8" width="15.0"/>
  </cols>
  <sheetData>
    <row r="1">
      <c r="A1" s="75" t="s">
        <v>0</v>
      </c>
      <c r="B1" s="76" t="s">
        <v>77</v>
      </c>
      <c r="D1" s="75" t="s">
        <v>0</v>
      </c>
      <c r="E1" s="76" t="s">
        <v>77</v>
      </c>
      <c r="F1" s="76" t="s">
        <v>129</v>
      </c>
    </row>
    <row r="2">
      <c r="A2" s="75" t="s">
        <v>16</v>
      </c>
      <c r="B2" s="83">
        <f t="shared" ref="B2:B11" si="1">IFERROR(VLOOKUP($B$1,INDIRECT(A2&amp;"!$A$2:$J$101"),8,FALSE),0)</f>
        <v>22000</v>
      </c>
      <c r="D2" s="75" t="s">
        <v>16</v>
      </c>
      <c r="E2" s="82">
        <f t="shared" ref="E2:E12" si="2">IFERROR(VLOOKUP($E$1,INDIRECT(A2&amp;"!$A$2:$J$101"),9,FALSE),0)</f>
        <v>0</v>
      </c>
      <c r="F2" s="82">
        <f>Global!M2</f>
        <v>0.022</v>
      </c>
    </row>
    <row r="3">
      <c r="A3" s="75" t="s">
        <v>17</v>
      </c>
      <c r="B3" s="83">
        <f t="shared" si="1"/>
        <v>22160</v>
      </c>
      <c r="D3" s="75" t="s">
        <v>17</v>
      </c>
      <c r="E3" s="82">
        <f t="shared" si="2"/>
        <v>160</v>
      </c>
      <c r="F3" s="82">
        <f>Global!M4</f>
        <v>0.03</v>
      </c>
    </row>
    <row r="4">
      <c r="A4" s="75" t="s">
        <v>18</v>
      </c>
      <c r="B4" s="83">
        <f t="shared" si="1"/>
        <v>21408</v>
      </c>
      <c r="D4" s="75" t="s">
        <v>18</v>
      </c>
      <c r="E4" s="82">
        <f t="shared" si="2"/>
        <v>-592</v>
      </c>
      <c r="F4" s="82">
        <f>Global!M5</f>
        <v>0.028</v>
      </c>
    </row>
    <row r="5">
      <c r="A5" s="75" t="s">
        <v>20</v>
      </c>
      <c r="B5" s="83">
        <f t="shared" si="1"/>
        <v>23867</v>
      </c>
      <c r="D5" s="75" t="s">
        <v>20</v>
      </c>
      <c r="E5" s="82">
        <f t="shared" si="2"/>
        <v>3220</v>
      </c>
      <c r="F5" s="82">
        <f>Global!M6</f>
        <v>0.0172</v>
      </c>
    </row>
    <row r="6">
      <c r="A6" s="75" t="s">
        <v>22</v>
      </c>
      <c r="B6" s="83">
        <f t="shared" si="1"/>
        <v>24930.7</v>
      </c>
      <c r="D6" s="75" t="s">
        <v>22</v>
      </c>
      <c r="E6" s="82">
        <f t="shared" si="2"/>
        <v>2930.7</v>
      </c>
      <c r="F6" s="82">
        <f>Global!M7</f>
        <v>0.016</v>
      </c>
    </row>
    <row r="7">
      <c r="A7" s="75" t="s">
        <v>23</v>
      </c>
      <c r="B7" s="83">
        <f t="shared" si="1"/>
        <v>28000</v>
      </c>
      <c r="D7" s="75" t="s">
        <v>23</v>
      </c>
      <c r="E7" s="82">
        <f t="shared" si="2"/>
        <v>6000</v>
      </c>
      <c r="F7" s="82">
        <f>Global!M8</f>
        <v>0.02</v>
      </c>
    </row>
    <row r="8">
      <c r="A8" s="75" t="s">
        <v>24</v>
      </c>
      <c r="B8" s="83">
        <f t="shared" si="1"/>
        <v>31114.52</v>
      </c>
      <c r="D8" s="75" t="s">
        <v>24</v>
      </c>
      <c r="E8" s="82">
        <f t="shared" si="2"/>
        <v>9114.52</v>
      </c>
      <c r="F8" s="82" t="str">
        <f>Global!M9</f>
        <v/>
      </c>
    </row>
    <row r="9">
      <c r="A9" s="75" t="s">
        <v>25</v>
      </c>
      <c r="B9" s="83">
        <f t="shared" si="1"/>
        <v>31430</v>
      </c>
      <c r="D9" s="75" t="s">
        <v>25</v>
      </c>
      <c r="E9" s="82">
        <f t="shared" si="2"/>
        <v>9430</v>
      </c>
      <c r="F9" s="82" t="str">
        <f>Global!M10</f>
        <v/>
      </c>
    </row>
    <row r="10">
      <c r="A10" s="75" t="s">
        <v>26</v>
      </c>
      <c r="B10" s="83">
        <f t="shared" si="1"/>
        <v>31430</v>
      </c>
      <c r="D10" s="75" t="s">
        <v>26</v>
      </c>
      <c r="E10" s="82">
        <f t="shared" si="2"/>
        <v>9430</v>
      </c>
      <c r="F10" s="82" t="str">
        <f>Global!M11</f>
        <v/>
      </c>
    </row>
    <row r="11">
      <c r="A11" s="75" t="s">
        <v>27</v>
      </c>
      <c r="B11" s="83">
        <f t="shared" si="1"/>
        <v>0</v>
      </c>
      <c r="D11" s="75" t="s">
        <v>27</v>
      </c>
      <c r="E11" s="82">
        <f t="shared" si="2"/>
        <v>0</v>
      </c>
      <c r="F11" s="82" t="str">
        <f>Global!M12</f>
        <v/>
      </c>
    </row>
    <row r="12">
      <c r="A12" s="75" t="s">
        <v>28</v>
      </c>
      <c r="B12" s="83">
        <f t="shared" ref="B12:B13" si="3">IFERROR(SUMIF(INDIRECT(A12&amp;"!$B$2:$B$100"),"Cripto",INDIRECT(A12&amp;"!$E$2:$E$100")),0)</f>
        <v>0</v>
      </c>
      <c r="D12" s="75" t="s">
        <v>28</v>
      </c>
      <c r="E12" s="82">
        <f t="shared" si="2"/>
        <v>0</v>
      </c>
      <c r="F12" s="82" t="str">
        <f>Global!M13</f>
        <v/>
      </c>
    </row>
    <row r="13">
      <c r="A13" s="75" t="s">
        <v>29</v>
      </c>
      <c r="B13" s="83">
        <f t="shared" si="3"/>
        <v>0</v>
      </c>
      <c r="D13" s="75" t="s">
        <v>29</v>
      </c>
      <c r="E13" s="82">
        <f>IFERROR(((B13-B12)/B13),0)</f>
        <v>0</v>
      </c>
      <c r="F13" s="82" t="str">
        <f>Global!N14</f>
        <v/>
      </c>
    </row>
    <row r="14">
      <c r="A14" s="84" t="s">
        <v>10</v>
      </c>
      <c r="B14" s="108">
        <f>SUM(B1:B13)</f>
        <v>236340.22</v>
      </c>
      <c r="D14" s="84" t="s">
        <v>10</v>
      </c>
      <c r="E14" s="86">
        <f t="shared" ref="E14:F14" si="4">AVERAGE(E2:E13)</f>
        <v>3307.768333</v>
      </c>
      <c r="F14" s="86">
        <f t="shared" si="4"/>
        <v>0.0222</v>
      </c>
    </row>
    <row r="38">
      <c r="A38" s="12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75"/>
    <col customWidth="1" min="3" max="3" width="6.13"/>
    <col customWidth="1" min="4" max="4" width="10.13"/>
    <col customWidth="1" min="5" max="6" width="14.13"/>
    <col customWidth="1" min="7" max="7" width="10.13"/>
    <col customWidth="1" min="8" max="8" width="6.75"/>
    <col customWidth="1" min="9" max="9" width="15.0"/>
  </cols>
  <sheetData>
    <row r="1">
      <c r="A1" s="75" t="s">
        <v>0</v>
      </c>
      <c r="B1" s="76" t="s">
        <v>10</v>
      </c>
      <c r="D1" s="75" t="s">
        <v>0</v>
      </c>
      <c r="E1" s="76" t="s">
        <v>185</v>
      </c>
      <c r="F1" s="76" t="s">
        <v>186</v>
      </c>
      <c r="G1" s="76" t="s">
        <v>129</v>
      </c>
    </row>
    <row r="2">
      <c r="A2" s="75" t="s">
        <v>16</v>
      </c>
      <c r="B2" s="83">
        <f>Global!H2</f>
        <v>28744.2487</v>
      </c>
      <c r="D2" s="75" t="s">
        <v>16</v>
      </c>
      <c r="E2" s="83"/>
      <c r="F2" s="82">
        <f t="shared" ref="F2:F7" si="1">IFERROR(((B2-B1)/B2),0)</f>
        <v>0</v>
      </c>
      <c r="G2" s="82">
        <v>0.0</v>
      </c>
    </row>
    <row r="3">
      <c r="A3" s="75" t="s">
        <v>17</v>
      </c>
      <c r="B3" s="83">
        <f>Global!H3</f>
        <v>1126576.54</v>
      </c>
      <c r="D3" s="75" t="s">
        <v>17</v>
      </c>
      <c r="E3" s="83">
        <f t="shared" ref="E3:E7" si="2">IF(B3=0,0,B3-B2)</f>
        <v>1097832.291</v>
      </c>
      <c r="F3" s="82">
        <f t="shared" si="1"/>
        <v>0.9744853122</v>
      </c>
      <c r="G3" s="82">
        <v>0.0</v>
      </c>
    </row>
    <row r="4">
      <c r="A4" s="75" t="s">
        <v>18</v>
      </c>
      <c r="B4" s="83">
        <f>Global!H4</f>
        <v>1134591.57</v>
      </c>
      <c r="D4" s="75" t="s">
        <v>18</v>
      </c>
      <c r="E4" s="83">
        <f t="shared" si="2"/>
        <v>8015.03004</v>
      </c>
      <c r="F4" s="82">
        <f t="shared" si="1"/>
        <v>0.007064242545</v>
      </c>
      <c r="G4" s="82">
        <v>0.0</v>
      </c>
    </row>
    <row r="5">
      <c r="A5" s="75" t="s">
        <v>20</v>
      </c>
      <c r="B5" s="83">
        <f>Global!H5</f>
        <v>2185113.026</v>
      </c>
      <c r="D5" s="75" t="s">
        <v>20</v>
      </c>
      <c r="E5" s="83">
        <f t="shared" si="2"/>
        <v>1050521.456</v>
      </c>
      <c r="F5" s="82">
        <f t="shared" si="1"/>
        <v>0.4807629827</v>
      </c>
      <c r="G5" s="82">
        <v>0.0</v>
      </c>
    </row>
    <row r="6">
      <c r="A6" s="75" t="s">
        <v>22</v>
      </c>
      <c r="B6" s="83">
        <f>Global!H6</f>
        <v>2205766.16</v>
      </c>
      <c r="D6" s="75" t="s">
        <v>22</v>
      </c>
      <c r="E6" s="83">
        <f t="shared" si="2"/>
        <v>20653.134</v>
      </c>
      <c r="F6" s="82">
        <f t="shared" si="1"/>
        <v>0.009363247281</v>
      </c>
      <c r="G6" s="82">
        <v>0.0</v>
      </c>
    </row>
    <row r="7">
      <c r="A7" s="75" t="s">
        <v>23</v>
      </c>
      <c r="B7" s="83">
        <f>Global!H7</f>
        <v>3259732.152</v>
      </c>
      <c r="D7" s="75" t="s">
        <v>23</v>
      </c>
      <c r="E7" s="83">
        <f t="shared" si="2"/>
        <v>1053965.992</v>
      </c>
      <c r="F7" s="82">
        <f t="shared" si="1"/>
        <v>0.3233290169</v>
      </c>
      <c r="G7" s="82">
        <v>0.0</v>
      </c>
    </row>
    <row r="8">
      <c r="A8" s="75" t="s">
        <v>24</v>
      </c>
      <c r="B8" s="83">
        <f>Global!H8</f>
        <v>3375673.666</v>
      </c>
      <c r="D8" s="75" t="s">
        <v>24</v>
      </c>
      <c r="E8" s="83">
        <v>0.0</v>
      </c>
      <c r="F8" s="82">
        <v>0.0</v>
      </c>
      <c r="G8" s="82">
        <v>0.0</v>
      </c>
    </row>
    <row r="9">
      <c r="A9" s="75" t="s">
        <v>25</v>
      </c>
      <c r="B9" s="83">
        <f>Global!H9</f>
        <v>2344814.022</v>
      </c>
      <c r="D9" s="75" t="s">
        <v>25</v>
      </c>
      <c r="E9" s="83">
        <f t="shared" ref="E9:E13" si="3">IF(B9=0,0,B9-B8)</f>
        <v>-1030859.644</v>
      </c>
      <c r="F9" s="82">
        <f t="shared" ref="F9:F13" si="4">IFERROR(((B9-B8)/B9),0)</f>
        <v>-0.4396338619</v>
      </c>
      <c r="G9" s="82">
        <v>0.04</v>
      </c>
    </row>
    <row r="10">
      <c r="A10" s="75" t="s">
        <v>26</v>
      </c>
      <c r="B10" s="83">
        <f>Global!H10</f>
        <v>1866787.954</v>
      </c>
      <c r="D10" s="75" t="s">
        <v>26</v>
      </c>
      <c r="E10" s="83">
        <f t="shared" si="3"/>
        <v>-478026.0681</v>
      </c>
      <c r="F10" s="82">
        <f t="shared" si="4"/>
        <v>-0.2560687555</v>
      </c>
      <c r="G10" s="82" t="str">
        <f>Global!M10</f>
        <v/>
      </c>
    </row>
    <row r="11">
      <c r="A11" s="75" t="s">
        <v>27</v>
      </c>
      <c r="B11" s="83" t="str">
        <f>Global!H11</f>
        <v/>
      </c>
      <c r="D11" s="75" t="s">
        <v>27</v>
      </c>
      <c r="E11" s="83">
        <f t="shared" si="3"/>
        <v>0</v>
      </c>
      <c r="F11" s="82">
        <f t="shared" si="4"/>
        <v>0</v>
      </c>
      <c r="G11" s="82" t="str">
        <f>Global!M11</f>
        <v/>
      </c>
    </row>
    <row r="12">
      <c r="A12" s="75" t="s">
        <v>28</v>
      </c>
      <c r="B12" s="83" t="str">
        <f>Global!H12</f>
        <v/>
      </c>
      <c r="D12" s="75" t="s">
        <v>28</v>
      </c>
      <c r="E12" s="83">
        <f t="shared" si="3"/>
        <v>0</v>
      </c>
      <c r="F12" s="82">
        <f t="shared" si="4"/>
        <v>0</v>
      </c>
      <c r="G12" s="82" t="str">
        <f>Global!M12</f>
        <v/>
      </c>
    </row>
    <row r="13">
      <c r="A13" s="75" t="s">
        <v>29</v>
      </c>
      <c r="B13" s="83" t="str">
        <f>Global!H13</f>
        <v/>
      </c>
      <c r="D13" s="75" t="s">
        <v>29</v>
      </c>
      <c r="E13" s="83">
        <f t="shared" si="3"/>
        <v>0</v>
      </c>
      <c r="F13" s="82">
        <f t="shared" si="4"/>
        <v>0</v>
      </c>
      <c r="G13" s="82" t="str">
        <f>Global!M13</f>
        <v/>
      </c>
    </row>
    <row r="14">
      <c r="A14" s="84" t="s">
        <v>10</v>
      </c>
      <c r="B14" s="109">
        <f>SUM(B1:B13)</f>
        <v>17527799.34</v>
      </c>
      <c r="D14" s="84" t="s">
        <v>10</v>
      </c>
      <c r="E14" s="123"/>
      <c r="F14" s="86">
        <f t="shared" ref="F14:G14" si="5">AVERAGE(F2:F13)</f>
        <v>0.09160851535</v>
      </c>
      <c r="G14" s="86">
        <f t="shared" si="5"/>
        <v>0.005</v>
      </c>
    </row>
    <row r="17">
      <c r="G17" s="97"/>
    </row>
    <row r="38">
      <c r="A38" s="122"/>
    </row>
  </sheetData>
  <drawing r:id="rId1"/>
</worksheet>
</file>